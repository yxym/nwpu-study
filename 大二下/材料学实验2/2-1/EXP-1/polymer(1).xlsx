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64"/>
  </bookViews>
  <sheets>
    <sheet name="UN-poly" sheetId="1" r:id="rId1"/>
  </sheets>
  <definedNames>
    <definedName name="_xlchart.v1.0" hidden="1">'UN-poly'!$D$1:$D$40</definedName>
    <definedName name="_xlchart.v1.1" hidden="1">'UN-poly'!$D$1:$D$40</definedName>
    <definedName name="_xlchart.v1.2" hidden="1">'UN-poly'!$D$1:$D$40</definedName>
    <definedName name="_xlchart.v1.3" hidden="1">'UN-poly'!$D$1:$D$40</definedName>
    <definedName name="_xlchart.v1.4" hidden="1">'UN-poly'!$D$1:$D$40</definedName>
    <definedName name="_xlchart.v1.5" hidden="1">'UN-poly'!$D$1:$D$40</definedName>
    <definedName name="_xlchart.v1.6" hidden="1">'UN-poly'!$D$1:$D$40</definedName>
    <definedName name="Coord">OFFSET('UN-poly'!$I$1,1,,'UN-poly'!$F$4)</definedName>
    <definedName name="Frequency">OFFSET('UN-poly'!$J$1,1,,'UN-poly'!$F$4)</definedName>
    <definedName name="Norm">OFFSET('UN-poly'!$K$1,1,,'UN-poly'!$F$4)</definedName>
  </definedNames>
  <calcPr calcId="144525"/>
</workbook>
</file>

<file path=xl/sharedStrings.xml><?xml version="1.0" encoding="utf-8"?>
<sst xmlns="http://schemas.openxmlformats.org/spreadsheetml/2006/main" count="20" uniqueCount="15">
  <si>
    <t>ARRANGE</t>
  </si>
  <si>
    <t>MEAN</t>
  </si>
  <si>
    <t>Group</t>
  </si>
  <si>
    <t>Group coordinate</t>
  </si>
  <si>
    <t>frequencey</t>
  </si>
  <si>
    <t>Normal distribution</t>
  </si>
  <si>
    <t>UNMODIFIED</t>
  </si>
  <si>
    <t>SD</t>
  </si>
  <si>
    <t>Number of groups</t>
  </si>
  <si>
    <t>Distance of groups</t>
  </si>
  <si>
    <t>Distance from the mean</t>
  </si>
  <si>
    <t>lower limit</t>
  </si>
  <si>
    <t>upper limit</t>
  </si>
  <si>
    <t>MODE</t>
  </si>
  <si>
    <t>MEDIAN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</si>
</sst>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46748701866812"/>
          <c:y val="0.0509259259259259"/>
          <c:w val="0.877612863327149"/>
          <c:h val="0.841674686497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"frequency"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[0]!Coord</c:f>
              <c:numCache>
                <c:formatCode>General</c:formatCode>
                <c:ptCount val="25"/>
                <c:pt idx="0">
                  <c:v>327378.410038401</c:v>
                </c:pt>
                <c:pt idx="1">
                  <c:v>396754.137235329</c:v>
                </c:pt>
                <c:pt idx="2">
                  <c:v>466129.864432257</c:v>
                </c:pt>
                <c:pt idx="3">
                  <c:v>535505.591629185</c:v>
                </c:pt>
                <c:pt idx="4">
                  <c:v>604881.318826113</c:v>
                </c:pt>
                <c:pt idx="5">
                  <c:v>674257.046023041</c:v>
                </c:pt>
                <c:pt idx="6">
                  <c:v>743632.773219968</c:v>
                </c:pt>
                <c:pt idx="7">
                  <c:v>813008.500416896</c:v>
                </c:pt>
                <c:pt idx="8">
                  <c:v>882384.227613824</c:v>
                </c:pt>
                <c:pt idx="9">
                  <c:v>951759.954810752</c:v>
                </c:pt>
                <c:pt idx="10">
                  <c:v>1021135.68200768</c:v>
                </c:pt>
                <c:pt idx="11">
                  <c:v>1090511.40920461</c:v>
                </c:pt>
                <c:pt idx="12">
                  <c:v>1159887.13640154</c:v>
                </c:pt>
                <c:pt idx="13">
                  <c:v>1229262.86359846</c:v>
                </c:pt>
                <c:pt idx="14">
                  <c:v>1298638.59079539</c:v>
                </c:pt>
                <c:pt idx="15">
                  <c:v>1368014.31799232</c:v>
                </c:pt>
                <c:pt idx="16">
                  <c:v>1437390.04518925</c:v>
                </c:pt>
                <c:pt idx="17">
                  <c:v>1506765.77238618</c:v>
                </c:pt>
                <c:pt idx="18">
                  <c:v>1576141.4995831</c:v>
                </c:pt>
                <c:pt idx="19">
                  <c:v>1645517.22678003</c:v>
                </c:pt>
                <c:pt idx="20">
                  <c:v>1714892.95397696</c:v>
                </c:pt>
                <c:pt idx="21">
                  <c:v>1784268.68117389</c:v>
                </c:pt>
                <c:pt idx="22">
                  <c:v>1853644.40837081</c:v>
                </c:pt>
                <c:pt idx="23">
                  <c:v>1923020.13556774</c:v>
                </c:pt>
                <c:pt idx="24">
                  <c:v>1992395.86276467</c:v>
                </c:pt>
              </c:numCache>
            </c:numRef>
          </c:cat>
          <c:val>
            <c:numRef>
              <c:f>[0]!Frequency</c:f>
              <c:numCache>
                <c:formatCode>General</c:formatCode>
                <c:ptCount val="2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975551"/>
        <c:axId val="1967975967"/>
      </c:barChart>
      <c:lineChart>
        <c:grouping val="standard"/>
        <c:varyColors val="0"/>
        <c:ser>
          <c:idx val="1"/>
          <c:order val="1"/>
          <c:tx>
            <c:strRef>
              <c:f>"NORM"</c:f>
              <c:strCache>
                <c:ptCount val="1"/>
                <c:pt idx="0">
                  <c:v>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[0]!Coord</c:f>
              <c:numCache>
                <c:formatCode>General</c:formatCode>
                <c:ptCount val="25"/>
                <c:pt idx="0">
                  <c:v>327378.410038401</c:v>
                </c:pt>
                <c:pt idx="1">
                  <c:v>396754.137235329</c:v>
                </c:pt>
                <c:pt idx="2">
                  <c:v>466129.864432257</c:v>
                </c:pt>
                <c:pt idx="3">
                  <c:v>535505.591629185</c:v>
                </c:pt>
                <c:pt idx="4">
                  <c:v>604881.318826113</c:v>
                </c:pt>
                <c:pt idx="5">
                  <c:v>674257.046023041</c:v>
                </c:pt>
                <c:pt idx="6">
                  <c:v>743632.773219968</c:v>
                </c:pt>
                <c:pt idx="7">
                  <c:v>813008.500416896</c:v>
                </c:pt>
                <c:pt idx="8">
                  <c:v>882384.227613824</c:v>
                </c:pt>
                <c:pt idx="9">
                  <c:v>951759.954810752</c:v>
                </c:pt>
                <c:pt idx="10">
                  <c:v>1021135.68200768</c:v>
                </c:pt>
                <c:pt idx="11">
                  <c:v>1090511.40920461</c:v>
                </c:pt>
                <c:pt idx="12">
                  <c:v>1159887.13640154</c:v>
                </c:pt>
                <c:pt idx="13">
                  <c:v>1229262.86359846</c:v>
                </c:pt>
                <c:pt idx="14">
                  <c:v>1298638.59079539</c:v>
                </c:pt>
                <c:pt idx="15">
                  <c:v>1368014.31799232</c:v>
                </c:pt>
                <c:pt idx="16">
                  <c:v>1437390.04518925</c:v>
                </c:pt>
                <c:pt idx="17">
                  <c:v>1506765.77238618</c:v>
                </c:pt>
                <c:pt idx="18">
                  <c:v>1576141.4995831</c:v>
                </c:pt>
                <c:pt idx="19">
                  <c:v>1645517.22678003</c:v>
                </c:pt>
                <c:pt idx="20">
                  <c:v>1714892.95397696</c:v>
                </c:pt>
                <c:pt idx="21">
                  <c:v>1784268.68117389</c:v>
                </c:pt>
                <c:pt idx="22">
                  <c:v>1853644.40837081</c:v>
                </c:pt>
                <c:pt idx="23">
                  <c:v>1923020.13556774</c:v>
                </c:pt>
                <c:pt idx="24">
                  <c:v>1992395.86276467</c:v>
                </c:pt>
              </c:numCache>
            </c:numRef>
          </c:cat>
          <c:val>
            <c:numRef>
              <c:f>[0]!Norm</c:f>
              <c:numCache>
                <c:formatCode>General</c:formatCode>
                <c:ptCount val="25"/>
                <c:pt idx="0">
                  <c:v>1.24518401336377e-7</c:v>
                </c:pt>
                <c:pt idx="1">
                  <c:v>1.69296820193695e-7</c:v>
                </c:pt>
                <c:pt idx="2">
                  <c:v>2.24360359479216e-7</c:v>
                </c:pt>
                <c:pt idx="3">
                  <c:v>2.8981810639881e-7</c:v>
                </c:pt>
                <c:pt idx="4">
                  <c:v>3.64911006805019e-7</c:v>
                </c:pt>
                <c:pt idx="5">
                  <c:v>4.47847828810793e-7</c:v>
                </c:pt>
                <c:pt idx="6">
                  <c:v>5.35742431260374e-7</c:v>
                </c:pt>
                <c:pt idx="7">
                  <c:v>6.24688738248688e-7</c:v>
                </c:pt>
                <c:pt idx="8">
                  <c:v>7.09991861207584e-7</c:v>
                </c:pt>
                <c:pt idx="9">
                  <c:v>7.86547808370544e-7</c:v>
                </c:pt>
                <c:pt idx="10">
                  <c:v>8.49334844177906e-7</c:v>
                </c:pt>
                <c:pt idx="11">
                  <c:v>8.93953273368334e-7</c:v>
                </c:pt>
                <c:pt idx="12">
                  <c:v>9.17133923529885e-7</c:v>
                </c:pt>
                <c:pt idx="13">
                  <c:v>9.17133923529885e-7</c:v>
                </c:pt>
                <c:pt idx="14">
                  <c:v>8.93953273368334e-7</c:v>
                </c:pt>
                <c:pt idx="15">
                  <c:v>8.49334844177907e-7</c:v>
                </c:pt>
                <c:pt idx="16">
                  <c:v>7.86547808370545e-7</c:v>
                </c:pt>
                <c:pt idx="17">
                  <c:v>7.09991861207585e-7</c:v>
                </c:pt>
                <c:pt idx="18">
                  <c:v>6.24688738248689e-7</c:v>
                </c:pt>
                <c:pt idx="19">
                  <c:v>5.35742431260375e-7</c:v>
                </c:pt>
                <c:pt idx="20">
                  <c:v>4.47847828810794e-7</c:v>
                </c:pt>
                <c:pt idx="21">
                  <c:v>3.64911006805019e-7</c:v>
                </c:pt>
                <c:pt idx="22">
                  <c:v>2.89818106398811e-7</c:v>
                </c:pt>
                <c:pt idx="23">
                  <c:v>2.24360359479217e-7</c:v>
                </c:pt>
                <c:pt idx="24">
                  <c:v>1.69296820193695e-7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016509599"/>
        <c:axId val="2016486719"/>
      </c:lineChart>
      <c:catAx>
        <c:axId val="196797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7975967"/>
        <c:crosses val="autoZero"/>
        <c:auto val="1"/>
        <c:lblAlgn val="ctr"/>
        <c:lblOffset val="100"/>
        <c:noMultiLvlLbl val="0"/>
      </c:catAx>
      <c:valAx>
        <c:axId val="196797596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7975551"/>
        <c:crosses val="max"/>
        <c:crossBetween val="between"/>
      </c:valAx>
      <c:catAx>
        <c:axId val="2016509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6486719"/>
        <c:crosses val="autoZero"/>
        <c:auto val="1"/>
        <c:lblAlgn val="ctr"/>
        <c:lblOffset val="100"/>
        <c:noMultiLvlLbl val="0"/>
      </c:catAx>
      <c:valAx>
        <c:axId val="20164867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650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31115</xdr:colOff>
      <xdr:row>14</xdr:row>
      <xdr:rowOff>99060</xdr:rowOff>
    </xdr:from>
    <xdr:to>
      <xdr:col>19</xdr:col>
      <xdr:colOff>324485</xdr:colOff>
      <xdr:row>30</xdr:row>
      <xdr:rowOff>38100</xdr:rowOff>
    </xdr:to>
    <xdr:graphicFrame>
      <xdr:nvGraphicFramePr>
        <xdr:cNvPr id="6" name="图表 5"/>
        <xdr:cNvGraphicFramePr/>
      </xdr:nvGraphicFramePr>
      <xdr:xfrm>
        <a:off x="8298815" y="2552700"/>
        <a:ext cx="61836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workbookViewId="0">
      <selection activeCell="N6" sqref="N6"/>
    </sheetView>
  </sheetViews>
  <sheetFormatPr defaultColWidth="9" defaultRowHeight="13.8"/>
  <cols>
    <col min="4" max="4" width="9.11111111111111" customWidth="1"/>
    <col min="5" max="5" width="22" customWidth="1"/>
    <col min="6" max="6" width="11.8888888888889" customWidth="1"/>
    <col min="7" max="7" width="16.5555555555556" customWidth="1"/>
    <col min="9" max="9" width="14.6666666666667" customWidth="1"/>
    <col min="10" max="10" width="10.3333333333333" customWidth="1"/>
    <col min="11" max="11" width="13.8888888888889" customWidth="1"/>
  </cols>
  <sheetData>
    <row r="1" spans="1:20">
      <c r="A1">
        <v>920000</v>
      </c>
      <c r="C1" t="s">
        <v>0</v>
      </c>
      <c r="D1">
        <v>113000</v>
      </c>
      <c r="E1" s="1" t="s">
        <v>1</v>
      </c>
      <c r="F1" s="1">
        <f>AVERAGE(D1:D40)</f>
        <v>1194575</v>
      </c>
      <c r="H1" t="s">
        <v>2</v>
      </c>
      <c r="I1" t="s">
        <v>3</v>
      </c>
      <c r="J1" t="s">
        <v>4</v>
      </c>
      <c r="K1" t="s">
        <v>5</v>
      </c>
      <c r="S1" t="s">
        <v>6</v>
      </c>
      <c r="T1">
        <v>113000</v>
      </c>
    </row>
    <row r="2" spans="1:20">
      <c r="A2">
        <v>113000</v>
      </c>
      <c r="D2">
        <v>260000</v>
      </c>
      <c r="E2" s="1" t="s">
        <v>7</v>
      </c>
      <c r="F2" s="1">
        <f>STDEV(D1:D40)</f>
        <v>433598.294980799</v>
      </c>
      <c r="H2">
        <v>1</v>
      </c>
      <c r="I2">
        <f>F7</f>
        <v>327378.410038401</v>
      </c>
      <c r="J2">
        <f>COUNTIF(D1:D40,"&lt;="&amp;I2)</f>
        <v>2</v>
      </c>
      <c r="K2">
        <f>_xlfn.NORM.DIST(I2,F$1,F$2,FALSE)</f>
        <v>1.24518401336377e-7</v>
      </c>
      <c r="T2">
        <v>120000</v>
      </c>
    </row>
    <row r="3" spans="1:20">
      <c r="A3">
        <v>260000</v>
      </c>
      <c r="D3">
        <v>620000</v>
      </c>
      <c r="E3" s="2"/>
      <c r="F3" s="2"/>
      <c r="H3">
        <v>2</v>
      </c>
      <c r="I3">
        <f>I2+F$5</f>
        <v>396754.137235329</v>
      </c>
      <c r="J3">
        <f>COUNTIF(D1:D40,"&lt;="&amp;I3)-COUNTIF(D1:D40,"&lt;="&amp;I2)</f>
        <v>0</v>
      </c>
      <c r="K3">
        <f t="shared" ref="K3:K41" si="0">_xlfn.NORM.DIST(I3,F$1,F$2,FALSE)</f>
        <v>1.69296820193695e-7</v>
      </c>
      <c r="T3">
        <v>260000</v>
      </c>
    </row>
    <row r="4" spans="1:20">
      <c r="A4">
        <v>1330000</v>
      </c>
      <c r="D4">
        <v>620000</v>
      </c>
      <c r="E4" s="1" t="s">
        <v>8</v>
      </c>
      <c r="F4" s="1">
        <v>25</v>
      </c>
      <c r="H4">
        <v>3</v>
      </c>
      <c r="I4">
        <f>I3+F$5</f>
        <v>466129.864432257</v>
      </c>
      <c r="J4">
        <f t="shared" ref="J4:J41" si="1">COUNTIF(D2:D41,"&lt;="&amp;I4)-COUNTIF(D2:D41,"&lt;="&amp;I3)</f>
        <v>0</v>
      </c>
      <c r="K4">
        <f t="shared" si="0"/>
        <v>2.24360359479216e-7</v>
      </c>
      <c r="T4">
        <v>620000</v>
      </c>
    </row>
    <row r="5" spans="1:20">
      <c r="A5">
        <v>1310000</v>
      </c>
      <c r="D5">
        <v>680000</v>
      </c>
      <c r="E5" s="1" t="s">
        <v>9</v>
      </c>
      <c r="F5" s="1">
        <f>(F$8-F$7)/F$4</f>
        <v>69375.7271969279</v>
      </c>
      <c r="H5">
        <v>4</v>
      </c>
      <c r="I5">
        <f>I4+F$5</f>
        <v>535505.591629185</v>
      </c>
      <c r="J5">
        <f t="shared" si="1"/>
        <v>0</v>
      </c>
      <c r="K5">
        <f t="shared" si="0"/>
        <v>2.8981810639881e-7</v>
      </c>
      <c r="T5">
        <v>620000</v>
      </c>
    </row>
    <row r="6" spans="1:20">
      <c r="A6">
        <v>1330000</v>
      </c>
      <c r="D6">
        <v>830000</v>
      </c>
      <c r="E6" s="1" t="s">
        <v>10</v>
      </c>
      <c r="F6" s="1">
        <v>2</v>
      </c>
      <c r="H6">
        <v>5</v>
      </c>
      <c r="I6">
        <f>I5+F$5</f>
        <v>604881.318826113</v>
      </c>
      <c r="J6">
        <f t="shared" si="1"/>
        <v>0</v>
      </c>
      <c r="K6">
        <f t="shared" si="0"/>
        <v>3.64911006805019e-7</v>
      </c>
      <c r="T6">
        <v>680000</v>
      </c>
    </row>
    <row r="7" spans="1:20">
      <c r="A7">
        <v>1330000</v>
      </c>
      <c r="D7">
        <v>850000</v>
      </c>
      <c r="E7" s="1" t="s">
        <v>11</v>
      </c>
      <c r="F7" s="1">
        <f>F1-F2*F6</f>
        <v>327378.410038401</v>
      </c>
      <c r="H7">
        <v>6</v>
      </c>
      <c r="I7">
        <f>I6+F$5</f>
        <v>674257.046023041</v>
      </c>
      <c r="J7">
        <f t="shared" si="1"/>
        <v>0</v>
      </c>
      <c r="K7">
        <f t="shared" si="0"/>
        <v>4.47847828810793e-7</v>
      </c>
      <c r="T7">
        <v>830000</v>
      </c>
    </row>
    <row r="8" spans="1:20">
      <c r="A8" s="3">
        <v>120000</v>
      </c>
      <c r="D8">
        <v>900000</v>
      </c>
      <c r="E8" s="1" t="s">
        <v>12</v>
      </c>
      <c r="F8" s="1">
        <f>F1+F6*F2</f>
        <v>2061771.5899616</v>
      </c>
      <c r="H8">
        <v>7</v>
      </c>
      <c r="I8">
        <f>I7+F$5</f>
        <v>743632.773219968</v>
      </c>
      <c r="J8">
        <f t="shared" si="1"/>
        <v>0</v>
      </c>
      <c r="K8">
        <f t="shared" si="0"/>
        <v>5.35742431260374e-7</v>
      </c>
      <c r="T8">
        <v>850000</v>
      </c>
    </row>
    <row r="9" spans="1:20">
      <c r="A9">
        <v>1420000</v>
      </c>
      <c r="D9">
        <v>910000</v>
      </c>
      <c r="H9">
        <v>8</v>
      </c>
      <c r="I9">
        <f>I8+F$5</f>
        <v>813008.500416896</v>
      </c>
      <c r="J9">
        <f t="shared" si="1"/>
        <v>0</v>
      </c>
      <c r="K9">
        <f t="shared" si="0"/>
        <v>6.24688738248688e-7</v>
      </c>
      <c r="T9">
        <v>900000</v>
      </c>
    </row>
    <row r="10" spans="1:20">
      <c r="A10">
        <v>1340000</v>
      </c>
      <c r="D10">
        <v>920000</v>
      </c>
      <c r="E10" t="s">
        <v>13</v>
      </c>
      <c r="F10">
        <f>MODE(D1:D40)</f>
        <v>1060000</v>
      </c>
      <c r="H10">
        <v>9</v>
      </c>
      <c r="I10">
        <f>I9+F$5</f>
        <v>882384.227613824</v>
      </c>
      <c r="J10">
        <f t="shared" si="1"/>
        <v>0</v>
      </c>
      <c r="K10">
        <f t="shared" si="0"/>
        <v>7.09991861207584e-7</v>
      </c>
      <c r="T10">
        <v>910000</v>
      </c>
    </row>
    <row r="11" spans="1:20">
      <c r="A11">
        <v>1320000</v>
      </c>
      <c r="D11">
        <v>940000</v>
      </c>
      <c r="E11" t="s">
        <v>14</v>
      </c>
      <c r="F11">
        <v>1260000</v>
      </c>
      <c r="H11">
        <v>10</v>
      </c>
      <c r="I11">
        <f>I10+F$5</f>
        <v>951759.954810752</v>
      </c>
      <c r="J11">
        <f t="shared" si="1"/>
        <v>5</v>
      </c>
      <c r="K11">
        <f t="shared" si="0"/>
        <v>7.86547808370544e-7</v>
      </c>
      <c r="T11">
        <v>920000</v>
      </c>
    </row>
    <row r="12" spans="1:20">
      <c r="A12">
        <v>830000</v>
      </c>
      <c r="D12">
        <v>950000</v>
      </c>
      <c r="E12" t="s">
        <v>1</v>
      </c>
      <c r="F12">
        <f>AVERAGE(D1:D40)</f>
        <v>1194575</v>
      </c>
      <c r="H12">
        <v>11</v>
      </c>
      <c r="I12">
        <f>I11+F$5</f>
        <v>1021135.68200768</v>
      </c>
      <c r="J12">
        <f t="shared" si="1"/>
        <v>1</v>
      </c>
      <c r="K12">
        <f t="shared" si="0"/>
        <v>8.49334844177906e-7</v>
      </c>
      <c r="T12">
        <v>940000</v>
      </c>
    </row>
    <row r="13" spans="1:20">
      <c r="A13">
        <v>1260000</v>
      </c>
      <c r="D13">
        <v>950000</v>
      </c>
      <c r="E13" t="s">
        <v>7</v>
      </c>
      <c r="F13">
        <f>STDEV(D1:D40)</f>
        <v>433598.294980799</v>
      </c>
      <c r="H13">
        <v>12</v>
      </c>
      <c r="I13">
        <f>I12+F$5</f>
        <v>1090511.40920461</v>
      </c>
      <c r="J13">
        <f t="shared" si="1"/>
        <v>3</v>
      </c>
      <c r="K13">
        <f t="shared" si="0"/>
        <v>8.93953273368334e-7</v>
      </c>
      <c r="T13">
        <v>950000</v>
      </c>
    </row>
    <row r="14" spans="1:20">
      <c r="A14">
        <v>680000</v>
      </c>
      <c r="D14">
        <v>1000000</v>
      </c>
      <c r="H14">
        <v>13</v>
      </c>
      <c r="I14">
        <f>I13+F$5</f>
        <v>1159887.13640154</v>
      </c>
      <c r="J14">
        <f t="shared" si="1"/>
        <v>1</v>
      </c>
      <c r="K14">
        <f t="shared" si="0"/>
        <v>9.17133923529885e-7</v>
      </c>
      <c r="T14">
        <v>950000</v>
      </c>
    </row>
    <row r="15" spans="1:20">
      <c r="A15">
        <v>2130000</v>
      </c>
      <c r="D15">
        <v>1060000</v>
      </c>
      <c r="H15">
        <v>14</v>
      </c>
      <c r="I15">
        <f>I14+F$5</f>
        <v>1229262.86359846</v>
      </c>
      <c r="J15">
        <f t="shared" si="1"/>
        <v>1</v>
      </c>
      <c r="K15">
        <f t="shared" si="0"/>
        <v>9.17133923529885e-7</v>
      </c>
      <c r="T15">
        <v>1000000</v>
      </c>
    </row>
    <row r="16" spans="1:20">
      <c r="A16">
        <v>1060000</v>
      </c>
      <c r="D16">
        <v>1060000</v>
      </c>
      <c r="H16">
        <v>15</v>
      </c>
      <c r="I16">
        <f>I15+F$5</f>
        <v>1298638.59079539</v>
      </c>
      <c r="J16">
        <f t="shared" si="1"/>
        <v>3</v>
      </c>
      <c r="K16">
        <f t="shared" si="0"/>
        <v>8.93953273368334e-7</v>
      </c>
      <c r="T16">
        <v>1060000</v>
      </c>
    </row>
    <row r="17" spans="1:20">
      <c r="A17">
        <v>1380000</v>
      </c>
      <c r="D17">
        <v>1060000</v>
      </c>
      <c r="H17">
        <v>16</v>
      </c>
      <c r="I17">
        <f>I16+F$5</f>
        <v>1368014.31799232</v>
      </c>
      <c r="J17">
        <f t="shared" si="1"/>
        <v>6</v>
      </c>
      <c r="K17">
        <f t="shared" si="0"/>
        <v>8.49334844177907e-7</v>
      </c>
      <c r="T17">
        <v>1060000</v>
      </c>
    </row>
    <row r="18" spans="1:20">
      <c r="A18">
        <v>1510000</v>
      </c>
      <c r="D18">
        <v>1120000</v>
      </c>
      <c r="H18">
        <v>17</v>
      </c>
      <c r="I18">
        <f>I17+F$5</f>
        <v>1437390.04518925</v>
      </c>
      <c r="J18">
        <f t="shared" si="1"/>
        <v>2</v>
      </c>
      <c r="K18">
        <f t="shared" si="0"/>
        <v>7.86547808370545e-7</v>
      </c>
      <c r="T18">
        <v>1060000</v>
      </c>
    </row>
    <row r="19" spans="1:20">
      <c r="A19">
        <v>950000</v>
      </c>
      <c r="D19">
        <v>1220000</v>
      </c>
      <c r="H19">
        <v>18</v>
      </c>
      <c r="I19">
        <f>I18+F$5</f>
        <v>1506765.77238618</v>
      </c>
      <c r="J19">
        <f t="shared" si="1"/>
        <v>3</v>
      </c>
      <c r="K19">
        <f t="shared" si="0"/>
        <v>7.09991861207585e-7</v>
      </c>
      <c r="T19">
        <v>1120000</v>
      </c>
    </row>
    <row r="20" spans="1:20">
      <c r="A20">
        <v>2210000</v>
      </c>
      <c r="D20">
        <v>1260000</v>
      </c>
      <c r="H20">
        <v>19</v>
      </c>
      <c r="I20">
        <f>I19+F$5</f>
        <v>1576141.4995831</v>
      </c>
      <c r="J20">
        <f t="shared" si="1"/>
        <v>1</v>
      </c>
      <c r="K20">
        <f t="shared" si="0"/>
        <v>6.24688738248689e-7</v>
      </c>
      <c r="T20">
        <v>1220000</v>
      </c>
    </row>
    <row r="21" spans="1:20">
      <c r="A21">
        <v>1060000</v>
      </c>
      <c r="D21">
        <v>1260000</v>
      </c>
      <c r="H21">
        <v>20</v>
      </c>
      <c r="I21">
        <f>I20+F$5</f>
        <v>1645517.22678003</v>
      </c>
      <c r="J21">
        <f t="shared" si="1"/>
        <v>2</v>
      </c>
      <c r="K21">
        <f t="shared" si="0"/>
        <v>5.35742431260375e-7</v>
      </c>
      <c r="T21">
        <v>1260000</v>
      </c>
    </row>
    <row r="22" spans="1:20">
      <c r="A22">
        <v>1740000</v>
      </c>
      <c r="D22">
        <v>1270000</v>
      </c>
      <c r="H22">
        <v>21</v>
      </c>
      <c r="I22">
        <f>I21+F$5</f>
        <v>1714892.95397696</v>
      </c>
      <c r="J22">
        <f t="shared" si="1"/>
        <v>0</v>
      </c>
      <c r="K22">
        <f t="shared" si="0"/>
        <v>4.47847828810794e-7</v>
      </c>
      <c r="T22">
        <v>1260000</v>
      </c>
    </row>
    <row r="23" spans="1:20">
      <c r="A23">
        <v>620000</v>
      </c>
      <c r="D23">
        <v>1310000</v>
      </c>
      <c r="H23">
        <v>22</v>
      </c>
      <c r="I23">
        <f>I22+F$5</f>
        <v>1784268.68117389</v>
      </c>
      <c r="J23">
        <f t="shared" si="1"/>
        <v>1</v>
      </c>
      <c r="K23">
        <f t="shared" si="0"/>
        <v>3.64911006805019e-7</v>
      </c>
      <c r="T23">
        <v>1270000</v>
      </c>
    </row>
    <row r="24" spans="1:20">
      <c r="A24">
        <v>940000</v>
      </c>
      <c r="D24">
        <v>1320000</v>
      </c>
      <c r="H24">
        <v>23</v>
      </c>
      <c r="I24">
        <f>I23+F$5</f>
        <v>1853644.40837081</v>
      </c>
      <c r="J24">
        <f t="shared" si="1"/>
        <v>0</v>
      </c>
      <c r="K24">
        <f t="shared" si="0"/>
        <v>2.89818106398811e-7</v>
      </c>
      <c r="T24">
        <v>1310000</v>
      </c>
    </row>
    <row r="25" spans="1:20">
      <c r="A25">
        <v>1490000</v>
      </c>
      <c r="D25">
        <v>1330000</v>
      </c>
      <c r="H25">
        <v>24</v>
      </c>
      <c r="I25">
        <f>I24+F$5</f>
        <v>1923020.13556774</v>
      </c>
      <c r="J25">
        <f t="shared" si="1"/>
        <v>1</v>
      </c>
      <c r="K25">
        <f t="shared" si="0"/>
        <v>2.24360359479217e-7</v>
      </c>
      <c r="T25">
        <v>1320000</v>
      </c>
    </row>
    <row r="26" spans="1:20">
      <c r="A26">
        <v>1120000</v>
      </c>
      <c r="D26">
        <v>1330000</v>
      </c>
      <c r="H26">
        <v>25</v>
      </c>
      <c r="I26">
        <f>I25+F$5</f>
        <v>1992395.86276467</v>
      </c>
      <c r="J26">
        <f t="shared" si="1"/>
        <v>0</v>
      </c>
      <c r="K26">
        <f t="shared" si="0"/>
        <v>1.69296820193695e-7</v>
      </c>
      <c r="T26">
        <v>1330000</v>
      </c>
    </row>
    <row r="27" spans="1:20">
      <c r="A27">
        <v>1620000</v>
      </c>
      <c r="D27">
        <v>1330000</v>
      </c>
      <c r="H27">
        <v>26</v>
      </c>
      <c r="I27">
        <f>I26+F$5</f>
        <v>2061771.5899616</v>
      </c>
      <c r="J27">
        <f t="shared" si="1"/>
        <v>0</v>
      </c>
      <c r="K27">
        <f t="shared" si="0"/>
        <v>1.24518401336378e-7</v>
      </c>
      <c r="T27">
        <v>1330000</v>
      </c>
    </row>
    <row r="28" spans="1:20">
      <c r="A28">
        <v>850000</v>
      </c>
      <c r="D28">
        <v>1340000</v>
      </c>
      <c r="H28">
        <v>27</v>
      </c>
      <c r="I28">
        <f>I27+F$5</f>
        <v>2131147.31715853</v>
      </c>
      <c r="J28">
        <f t="shared" si="1"/>
        <v>1</v>
      </c>
      <c r="K28">
        <f t="shared" si="0"/>
        <v>8.92689307027136e-8</v>
      </c>
      <c r="T28">
        <v>1330000</v>
      </c>
    </row>
    <row r="29" spans="1:20">
      <c r="A29">
        <v>1060000</v>
      </c>
      <c r="D29">
        <v>1380000</v>
      </c>
      <c r="H29">
        <v>28</v>
      </c>
      <c r="I29">
        <f>I28+F$5</f>
        <v>2200523.04435545</v>
      </c>
      <c r="J29">
        <f t="shared" si="1"/>
        <v>0</v>
      </c>
      <c r="K29">
        <f t="shared" si="0"/>
        <v>6.23805486783097e-8</v>
      </c>
      <c r="T29">
        <v>1340000</v>
      </c>
    </row>
    <row r="30" spans="1:20">
      <c r="A30">
        <v>910000</v>
      </c>
      <c r="D30">
        <v>1420000</v>
      </c>
      <c r="H30">
        <v>29</v>
      </c>
      <c r="I30">
        <f>I29+F$5</f>
        <v>2269898.77155238</v>
      </c>
      <c r="J30">
        <f t="shared" si="1"/>
        <v>1</v>
      </c>
      <c r="K30">
        <f t="shared" si="0"/>
        <v>4.24893521495002e-8</v>
      </c>
      <c r="T30">
        <v>1380000</v>
      </c>
    </row>
    <row r="31" spans="1:20">
      <c r="A31">
        <v>620000</v>
      </c>
      <c r="D31">
        <v>1470000</v>
      </c>
      <c r="H31">
        <v>30</v>
      </c>
      <c r="I31">
        <f>I30+F$5</f>
        <v>2339274.49874931</v>
      </c>
      <c r="J31">
        <f t="shared" si="1"/>
        <v>0</v>
      </c>
      <c r="K31">
        <f t="shared" si="0"/>
        <v>2.82093506659652e-8</v>
      </c>
      <c r="T31">
        <v>1420000</v>
      </c>
    </row>
    <row r="32" spans="1:20">
      <c r="A32">
        <v>1220000</v>
      </c>
      <c r="D32">
        <v>1490000</v>
      </c>
      <c r="H32">
        <v>31</v>
      </c>
      <c r="I32">
        <f>I31+F$5</f>
        <v>2408650.22594624</v>
      </c>
      <c r="J32">
        <f t="shared" si="1"/>
        <v>0</v>
      </c>
      <c r="K32">
        <f t="shared" si="0"/>
        <v>1.8255264549254e-8</v>
      </c>
      <c r="T32">
        <v>1470000</v>
      </c>
    </row>
    <row r="33" spans="1:20">
      <c r="A33">
        <v>950000</v>
      </c>
      <c r="D33">
        <v>1500000</v>
      </c>
      <c r="H33">
        <v>32</v>
      </c>
      <c r="I33">
        <f>I32+F$5</f>
        <v>2478025.95314317</v>
      </c>
      <c r="J33">
        <f t="shared" si="1"/>
        <v>0</v>
      </c>
      <c r="K33">
        <f t="shared" si="0"/>
        <v>1.15150342411597e-8</v>
      </c>
      <c r="T33">
        <v>1490000</v>
      </c>
    </row>
    <row r="34" spans="1:20">
      <c r="A34">
        <v>900000</v>
      </c>
      <c r="D34">
        <v>1510000</v>
      </c>
      <c r="H34">
        <v>33</v>
      </c>
      <c r="I34">
        <f>I33+F$5</f>
        <v>2547401.68034009</v>
      </c>
      <c r="J34">
        <f t="shared" si="1"/>
        <v>0</v>
      </c>
      <c r="K34">
        <f t="shared" si="0"/>
        <v>7.07985556364022e-9</v>
      </c>
      <c r="T34">
        <v>1500000</v>
      </c>
    </row>
    <row r="35" spans="1:20">
      <c r="A35">
        <v>1270000</v>
      </c>
      <c r="D35">
        <v>1620000</v>
      </c>
      <c r="H35">
        <v>34</v>
      </c>
      <c r="I35">
        <f>I34+F$5</f>
        <v>2616777.40753702</v>
      </c>
      <c r="J35">
        <f t="shared" si="1"/>
        <v>0</v>
      </c>
      <c r="K35">
        <f t="shared" si="0"/>
        <v>4.24292761784438e-9</v>
      </c>
      <c r="T35">
        <v>1510000</v>
      </c>
    </row>
    <row r="36" spans="1:20">
      <c r="A36">
        <v>1860000</v>
      </c>
      <c r="D36">
        <v>1640000</v>
      </c>
      <c r="H36">
        <v>35</v>
      </c>
      <c r="I36">
        <f>I35+F$5</f>
        <v>2686153.13473395</v>
      </c>
      <c r="J36">
        <f t="shared" si="1"/>
        <v>0</v>
      </c>
      <c r="K36">
        <f t="shared" si="0"/>
        <v>2.47849992168746e-9</v>
      </c>
      <c r="T36">
        <v>1620000</v>
      </c>
    </row>
    <row r="37" spans="1:20">
      <c r="A37">
        <v>1000000</v>
      </c>
      <c r="D37">
        <v>1740000</v>
      </c>
      <c r="H37">
        <v>36</v>
      </c>
      <c r="I37">
        <f>I36+F$5</f>
        <v>2755528.86193088</v>
      </c>
      <c r="J37">
        <f t="shared" si="1"/>
        <v>0</v>
      </c>
      <c r="K37">
        <f t="shared" si="0"/>
        <v>1.41121848770384e-9</v>
      </c>
      <c r="T37">
        <v>1640000</v>
      </c>
    </row>
    <row r="38" spans="1:20">
      <c r="A38">
        <v>1640000</v>
      </c>
      <c r="D38">
        <v>1860000</v>
      </c>
      <c r="H38">
        <v>37</v>
      </c>
      <c r="I38">
        <f>I37+F$5</f>
        <v>2824904.58912781</v>
      </c>
      <c r="J38">
        <f t="shared" si="1"/>
        <v>0</v>
      </c>
      <c r="K38">
        <f t="shared" si="0"/>
        <v>7.83216208215692e-10</v>
      </c>
      <c r="T38">
        <v>1740000</v>
      </c>
    </row>
    <row r="39" spans="1:20">
      <c r="A39">
        <v>1470000</v>
      </c>
      <c r="D39">
        <v>2130000</v>
      </c>
      <c r="H39">
        <v>38</v>
      </c>
      <c r="I39">
        <f>I38+F$5</f>
        <v>2894280.31632474</v>
      </c>
      <c r="J39">
        <f t="shared" si="1"/>
        <v>0</v>
      </c>
      <c r="K39">
        <f t="shared" si="0"/>
        <v>4.23692851491931e-10</v>
      </c>
      <c r="T39">
        <v>1860000</v>
      </c>
    </row>
    <row r="40" spans="1:20">
      <c r="A40">
        <v>1260000</v>
      </c>
      <c r="D40">
        <v>2210000</v>
      </c>
      <c r="H40">
        <v>39</v>
      </c>
      <c r="I40">
        <f>I39+F$5</f>
        <v>2963656.04352166</v>
      </c>
      <c r="J40">
        <f t="shared" si="1"/>
        <v>0</v>
      </c>
      <c r="K40">
        <f t="shared" si="0"/>
        <v>2.23410030712892e-10</v>
      </c>
      <c r="T40">
        <v>2130000</v>
      </c>
    </row>
    <row r="41" spans="1:20">
      <c r="A41">
        <v>1500000</v>
      </c>
      <c r="H41">
        <v>40</v>
      </c>
      <c r="I41">
        <f>I40+F$5</f>
        <v>3033031.77071859</v>
      </c>
      <c r="J41">
        <f t="shared" si="1"/>
        <v>0</v>
      </c>
      <c r="K41">
        <f t="shared" si="0"/>
        <v>1.14824948977753e-10</v>
      </c>
      <c r="T41">
        <v>2210000</v>
      </c>
    </row>
    <row r="43" spans="19:20">
      <c r="S43" t="s">
        <v>1</v>
      </c>
      <c r="T43">
        <f>AVERAGE(T1:T41)</f>
        <v>1168365.85365854</v>
      </c>
    </row>
    <row r="44" spans="19:20">
      <c r="S44" t="s">
        <v>13</v>
      </c>
      <c r="T44">
        <f>MODE(T1:T41)</f>
        <v>1060000</v>
      </c>
    </row>
    <row r="45" spans="19:20">
      <c r="S45" t="s">
        <v>14</v>
      </c>
      <c r="T45">
        <v>1260000</v>
      </c>
    </row>
  </sheetData>
  <sortState ref="T1:T41">
    <sortCondition ref="T1:T41"/>
  </sortState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UN-poly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v</cp:lastModifiedBy>
  <dcterms:created xsi:type="dcterms:W3CDTF">2015-06-05T18:19:00Z</dcterms:created>
  <dcterms:modified xsi:type="dcterms:W3CDTF">2023-03-03T07:26:35Z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FC3521792BDE4A79BFA0C3DB5D28B242</vt:lpwstr>
  </property>
  <property fmtid="{D5CDD505-2E9C-101B-9397-08002B2CF9AE}" pid="3" name="KSOProductBuildVer">
    <vt:lpwstr>2052-11.1.0.12763</vt:lpwstr>
  </property>
</Properties>
</file>