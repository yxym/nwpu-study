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48" windowHeight="9264" firstSheet="23" activeTab="39"/>
  </bookViews>
  <sheets>
    <sheet name="M1" sheetId="9" r:id="rId1"/>
    <sheet name="M2" sheetId="6" r:id="rId2"/>
    <sheet name="M3" sheetId="28" r:id="rId3"/>
    <sheet name="M4" sheetId="13" r:id="rId4"/>
    <sheet name="M5" sheetId="15" r:id="rId5"/>
    <sheet name="M6" sheetId="2" r:id="rId6"/>
    <sheet name="M7" sheetId="8" r:id="rId7"/>
    <sheet name="M8" sheetId="17" r:id="rId8"/>
    <sheet name="M9" sheetId="41" r:id="rId9"/>
    <sheet name="M10" sheetId="18" r:id="rId10"/>
    <sheet name="M11" sheetId="11" r:id="rId11"/>
    <sheet name="M12" sheetId="1" r:id="rId12"/>
    <sheet name="M13" sheetId="10" r:id="rId13"/>
    <sheet name="M14" sheetId="4" r:id="rId14"/>
    <sheet name="M15" sheetId="5" r:id="rId15"/>
    <sheet name="M16" sheetId="23" r:id="rId16"/>
    <sheet name="M17" sheetId="3" r:id="rId17"/>
    <sheet name="M18" sheetId="36" r:id="rId18"/>
    <sheet name="M19" sheetId="16" r:id="rId19"/>
    <sheet name="M20" sheetId="12" r:id="rId20"/>
    <sheet name="M21" sheetId="25" r:id="rId21"/>
    <sheet name="M22" sheetId="31" r:id="rId22"/>
    <sheet name="M23" sheetId="22" r:id="rId23"/>
    <sheet name="M24" sheetId="35" r:id="rId24"/>
    <sheet name="M25" sheetId="14" r:id="rId25"/>
    <sheet name="M26" sheetId="33" r:id="rId26"/>
    <sheet name="M27" sheetId="20" r:id="rId27"/>
    <sheet name="M28" sheetId="37" r:id="rId28"/>
    <sheet name="M29" sheetId="40" r:id="rId29"/>
    <sheet name="M30" sheetId="7" r:id="rId30"/>
    <sheet name="M31" sheetId="30" r:id="rId31"/>
    <sheet name="M32" sheetId="19" r:id="rId32"/>
    <sheet name="M33" sheetId="34" r:id="rId33"/>
    <sheet name="M34" sheetId="21" r:id="rId34"/>
    <sheet name="M35" sheetId="24" r:id="rId35"/>
    <sheet name="M36" sheetId="29" r:id="rId36"/>
    <sheet name="M37" sheetId="27" r:id="rId37"/>
    <sheet name="M38" sheetId="32" r:id="rId38"/>
    <sheet name="M39" sheetId="39" r:id="rId39"/>
    <sheet name="M40" sheetId="38" r:id="rId40"/>
  </sheets>
  <calcPr calcId="144525"/>
</workbook>
</file>

<file path=xl/sharedStrings.xml><?xml version="1.0" encoding="utf-8"?>
<sst xmlns="http://schemas.openxmlformats.org/spreadsheetml/2006/main" count="702" uniqueCount="83">
  <si>
    <t>Sample Number:</t>
  </si>
  <si>
    <t>M1</t>
  </si>
  <si>
    <t>Cross-section dimensions:</t>
  </si>
  <si>
    <t>Width / mm:</t>
  </si>
  <si>
    <t>Area (m2)</t>
  </si>
  <si>
    <t>Thickness / mm:</t>
  </si>
  <si>
    <t xml:space="preserve">Weight applied </t>
  </si>
  <si>
    <t>Distance between marks</t>
  </si>
  <si>
    <t>unit = grams</t>
  </si>
  <si>
    <t>unit = mm</t>
  </si>
  <si>
    <t>Strain</t>
  </si>
  <si>
    <t>Stress</t>
  </si>
  <si>
    <t>Mass Resin</t>
  </si>
  <si>
    <t>60 g</t>
  </si>
  <si>
    <t>Modulus</t>
  </si>
  <si>
    <t>Mass Crosslinker</t>
  </si>
  <si>
    <t>6 g</t>
  </si>
  <si>
    <t>M2</t>
  </si>
  <si>
    <t>M3</t>
  </si>
  <si>
    <t>60g</t>
  </si>
  <si>
    <t>6.1 g</t>
  </si>
  <si>
    <t>M4</t>
  </si>
  <si>
    <t>59.7g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</si>
  <si>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</si>
  <si>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</si>
  <si>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</si>
  <si>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</si>
  <si>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</si>
  <si>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</si>
  <si>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</si>
  <si>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</si>
  <si>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</si>
  <si>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</si>
  <si>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5.9 g</t>
  </si>
  <si>
    <t>M15</t>
  </si>
  <si>
    <t>M16</t>
  </si>
  <si>
    <t>sq</t>
  </si>
  <si>
    <t>M17</t>
  </si>
  <si>
    <t>M18</t>
  </si>
  <si>
    <t>M19</t>
  </si>
  <si>
    <t>M20</t>
  </si>
  <si>
    <t>M21</t>
  </si>
  <si>
    <t>6.6 g</t>
  </si>
  <si>
    <t>M22</t>
  </si>
  <si>
    <t>M23</t>
  </si>
  <si>
    <t>M24</t>
  </si>
  <si>
    <t>M25</t>
  </si>
  <si>
    <t>M26</t>
  </si>
  <si>
    <t>M27</t>
  </si>
  <si>
    <t>M28</t>
  </si>
  <si>
    <t>M29</t>
  </si>
  <si>
    <t>0.0</t>
  </si>
  <si>
    <t>5.0</t>
  </si>
  <si>
    <t>81.5</t>
  </si>
  <si>
    <t>205.0</t>
  </si>
  <si>
    <t>83.7</t>
  </si>
  <si>
    <t>405.0</t>
  </si>
  <si>
    <t>85.5</t>
  </si>
  <si>
    <t>505.0</t>
  </si>
  <si>
    <t>86.4</t>
  </si>
  <si>
    <t>605.0</t>
  </si>
  <si>
    <t>87.5</t>
  </si>
  <si>
    <t>805.0</t>
  </si>
  <si>
    <t>90.0</t>
  </si>
  <si>
    <t>1005.0</t>
  </si>
  <si>
    <t>92.1</t>
  </si>
  <si>
    <t>1205.0</t>
  </si>
  <si>
    <t>94.2</t>
  </si>
  <si>
    <t>1305.0</t>
  </si>
  <si>
    <t>95.1</t>
  </si>
  <si>
    <t>1405.0</t>
  </si>
  <si>
    <t>95.9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</si>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</sst>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_);[Red]\(0.0\)"/>
    <numFmt numFmtId="179" formatCode="0.0"/>
  </numFmts>
  <fonts count="24">
    <font>
      <sz val="11"/>
      <color theme="1"/>
      <name val="等线"/>
      <charset val="134"/>
      <scheme val="minor"/>
    </font>
    <font>
      <b/>
      <sz val="11"/>
      <color indexed="8"/>
      <name val="Calibri"/>
      <charset val="134"/>
    </font>
    <font>
      <b/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sz val="11"/>
      <color indexed="8"/>
      <name val="Calibri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21" applyNumberFormat="0" applyAlignment="0" applyProtection="0">
      <alignment vertical="center"/>
    </xf>
    <xf numFmtId="0" fontId="18" fillId="14" borderId="17" applyNumberFormat="0" applyAlignment="0" applyProtection="0">
      <alignment vertical="center"/>
    </xf>
    <xf numFmtId="0" fontId="19" fillId="15" borderId="22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48">
    <xf numFmtId="0" fontId="0" fillId="0" borderId="0" xfId="0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/>
    <xf numFmtId="0" fontId="0" fillId="2" borderId="3" xfId="0" applyFill="1" applyBorder="1"/>
    <xf numFmtId="49" fontId="0" fillId="2" borderId="4" xfId="0" applyNumberFormat="1" applyFill="1" applyBorder="1"/>
    <xf numFmtId="0" fontId="0" fillId="3" borderId="5" xfId="0" applyFill="1" applyBorder="1"/>
    <xf numFmtId="0" fontId="2" fillId="0" borderId="6" xfId="0" applyFont="1" applyBorder="1"/>
    <xf numFmtId="49" fontId="0" fillId="2" borderId="7" xfId="0" applyNumberFormat="1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49" fontId="2" fillId="2" borderId="10" xfId="0" applyNumberFormat="1" applyFont="1" applyFill="1" applyBorder="1"/>
    <xf numFmtId="49" fontId="2" fillId="2" borderId="11" xfId="0" applyNumberFormat="1" applyFont="1" applyFill="1" applyBorder="1"/>
    <xf numFmtId="49" fontId="2" fillId="2" borderId="12" xfId="0" applyNumberFormat="1" applyFont="1" applyFill="1" applyBorder="1"/>
    <xf numFmtId="176" fontId="0" fillId="0" borderId="13" xfId="0" applyNumberFormat="1" applyBorder="1"/>
    <xf numFmtId="177" fontId="0" fillId="0" borderId="13" xfId="0" applyNumberFormat="1" applyBorder="1"/>
    <xf numFmtId="176" fontId="0" fillId="0" borderId="6" xfId="0" applyNumberFormat="1" applyBorder="1"/>
    <xf numFmtId="177" fontId="0" fillId="0" borderId="6" xfId="0" applyNumberFormat="1" applyBorder="1"/>
    <xf numFmtId="0" fontId="0" fillId="2" borderId="5" xfId="0" applyFill="1" applyBorder="1"/>
    <xf numFmtId="0" fontId="0" fillId="0" borderId="13" xfId="0" applyBorder="1"/>
    <xf numFmtId="49" fontId="0" fillId="0" borderId="13" xfId="0" applyNumberFormat="1" applyBorder="1"/>
    <xf numFmtId="0" fontId="0" fillId="0" borderId="6" xfId="0" applyFill="1" applyBorder="1"/>
    <xf numFmtId="49" fontId="0" fillId="3" borderId="1" xfId="0" applyNumberFormat="1" applyFill="1" applyBorder="1"/>
    <xf numFmtId="0" fontId="0" fillId="4" borderId="13" xfId="0" applyFill="1" applyBorder="1"/>
    <xf numFmtId="49" fontId="0" fillId="0" borderId="1" xfId="0" applyNumberFormat="1" applyFill="1" applyBorder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178" fontId="0" fillId="0" borderId="13" xfId="0" applyNumberFormat="1" applyFill="1" applyBorder="1"/>
    <xf numFmtId="0" fontId="0" fillId="0" borderId="6" xfId="0" applyFill="1" applyBorder="1"/>
    <xf numFmtId="178" fontId="0" fillId="0" borderId="6" xfId="0" applyNumberFormat="1" applyBorder="1"/>
    <xf numFmtId="0" fontId="0" fillId="0" borderId="13" xfId="0" applyFill="1" applyBorder="1"/>
    <xf numFmtId="0" fontId="0" fillId="4" borderId="6" xfId="0" applyFill="1" applyBorder="1"/>
    <xf numFmtId="0" fontId="0" fillId="3" borderId="6" xfId="0" applyFill="1" applyBorder="1"/>
    <xf numFmtId="49" fontId="0" fillId="0" borderId="6" xfId="0" applyNumberFormat="1" applyBorder="1"/>
    <xf numFmtId="0" fontId="0" fillId="0" borderId="13" xfId="0" applyFill="1" applyBorder="1"/>
    <xf numFmtId="178" fontId="0" fillId="0" borderId="13" xfId="0" applyNumberFormat="1" applyBorder="1"/>
    <xf numFmtId="178" fontId="0" fillId="0" borderId="0" xfId="0" applyNumberFormat="1"/>
    <xf numFmtId="178" fontId="0" fillId="3" borderId="6" xfId="0" applyNumberFormat="1" applyFill="1" applyBorder="1"/>
    <xf numFmtId="0" fontId="0" fillId="2" borderId="1" xfId="0" applyFill="1" applyBorder="1"/>
    <xf numFmtId="0" fontId="2" fillId="0" borderId="0" xfId="0" applyFont="1"/>
    <xf numFmtId="179" fontId="0" fillId="0" borderId="13" xfId="0" applyNumberFormat="1" applyBorder="1"/>
    <xf numFmtId="179" fontId="0" fillId="0" borderId="6" xfId="0" applyNumberFormat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" xfId="0" applyFont="1" applyFill="1" applyBorder="1"/>
    <xf numFmtId="0" fontId="0" fillId="3" borderId="13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3" Type="http://schemas.openxmlformats.org/officeDocument/2006/relationships/sharedStrings" Target="sharedStrings.xml"/><Relationship Id="rId42" Type="http://schemas.openxmlformats.org/officeDocument/2006/relationships/styles" Target="styles.xml"/><Relationship Id="rId41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0.046337817638266</c:v>
                </c:pt>
                <c:pt idx="2">
                  <c:v>0.0687593423019431</c:v>
                </c:pt>
                <c:pt idx="3">
                  <c:v>0.109118086696562</c:v>
                </c:pt>
                <c:pt idx="4">
                  <c:v>0.130044843049327</c:v>
                </c:pt>
                <c:pt idx="5">
                  <c:v>0.165919282511211</c:v>
                </c:pt>
                <c:pt idx="6">
                  <c:v>0.197309417040359</c:v>
                </c:pt>
                <c:pt idx="7">
                  <c:v>0.233183856502242</c:v>
                </c:pt>
                <c:pt idx="8">
                  <c:v>0.24813153961136</c:v>
                </c:pt>
                <c:pt idx="9">
                  <c:v>0.270553064275037</c:v>
                </c:pt>
                <c:pt idx="10">
                  <c:v>0.282511210762332</c:v>
                </c:pt>
              </c:numCache>
            </c:numRef>
          </c:xVal>
          <c:yVal>
            <c:numRef>
              <c:f>'M1'!$D$8:$D$18</c:f>
              <c:numCache>
                <c:formatCode>General</c:formatCode>
                <c:ptCount val="11"/>
                <c:pt idx="0">
                  <c:v>0</c:v>
                </c:pt>
                <c:pt idx="1">
                  <c:v>40589.1472868217</c:v>
                </c:pt>
                <c:pt idx="2">
                  <c:v>76764.8578811369</c:v>
                </c:pt>
                <c:pt idx="3">
                  <c:v>112940.568475452</c:v>
                </c:pt>
                <c:pt idx="4">
                  <c:v>149116.279069767</c:v>
                </c:pt>
                <c:pt idx="5">
                  <c:v>185291.989664083</c:v>
                </c:pt>
                <c:pt idx="6">
                  <c:v>221467.700258398</c:v>
                </c:pt>
                <c:pt idx="7">
                  <c:v>257643.410852713</c:v>
                </c:pt>
                <c:pt idx="8">
                  <c:v>275731.266149871</c:v>
                </c:pt>
                <c:pt idx="9">
                  <c:v>293819.121447028</c:v>
                </c:pt>
                <c:pt idx="10">
                  <c:v>311906.976744186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06608"/>
        <c:axId val="540003864"/>
      </c:scatterChart>
      <c:valAx>
        <c:axId val="5400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03864"/>
        <c:crosses val="autoZero"/>
        <c:crossBetween val="midCat"/>
      </c:valAx>
      <c:valAx>
        <c:axId val="54000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0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'M2'!$C$8:$C$17</c:f>
              <c:numCache>
                <c:formatCode>General</c:formatCode>
                <c:ptCount val="10"/>
                <c:pt idx="0">
                  <c:v>0</c:v>
                </c:pt>
                <c:pt idx="1">
                  <c:v>0.0612244897959184</c:v>
                </c:pt>
                <c:pt idx="2">
                  <c:v>0.0816326530612245</c:v>
                </c:pt>
                <c:pt idx="3">
                  <c:v>0.102040816326531</c:v>
                </c:pt>
                <c:pt idx="4">
                  <c:v>0.122448979591837</c:v>
                </c:pt>
                <c:pt idx="5">
                  <c:v>0.142857142857143</c:v>
                </c:pt>
                <c:pt idx="6">
                  <c:v>0.163265306122449</c:v>
                </c:pt>
                <c:pt idx="7">
                  <c:v>0.204081632653061</c:v>
                </c:pt>
                <c:pt idx="8">
                  <c:v>0.224489795918367</c:v>
                </c:pt>
                <c:pt idx="9">
                  <c:v>0.244897959183673</c:v>
                </c:pt>
              </c:numCache>
            </c:numRef>
          </c:xVal>
          <c:yVal>
            <c:numRef>
              <c:f>'M2'!$D$8:$D$17</c:f>
              <c:numCache>
                <c:formatCode>General</c:formatCode>
                <c:ptCount val="10"/>
                <c:pt idx="0">
                  <c:v>0</c:v>
                </c:pt>
                <c:pt idx="1">
                  <c:v>51487.6923076923</c:v>
                </c:pt>
                <c:pt idx="2">
                  <c:v>101744.102564103</c:v>
                </c:pt>
                <c:pt idx="3">
                  <c:v>126872.307692308</c:v>
                </c:pt>
                <c:pt idx="4">
                  <c:v>152000.512820513</c:v>
                </c:pt>
                <c:pt idx="5">
                  <c:v>177128.717948718</c:v>
                </c:pt>
                <c:pt idx="6">
                  <c:v>202256.923076923</c:v>
                </c:pt>
                <c:pt idx="7">
                  <c:v>227385.128205128</c:v>
                </c:pt>
                <c:pt idx="8">
                  <c:v>252513.333333333</c:v>
                </c:pt>
                <c:pt idx="9">
                  <c:v>265077.435897436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05824"/>
        <c:axId val="540007392"/>
      </c:scatterChart>
      <c:valAx>
        <c:axId val="54000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07392"/>
        <c:crosses val="autoZero"/>
        <c:crossBetween val="midCat"/>
      </c:valAx>
      <c:valAx>
        <c:axId val="5400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0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0.0147058823529412</c:v>
                </c:pt>
                <c:pt idx="2">
                  <c:v>0.0514705882352941</c:v>
                </c:pt>
                <c:pt idx="3">
                  <c:v>0.0588235294117647</c:v>
                </c:pt>
                <c:pt idx="4">
                  <c:v>0.0882352941176471</c:v>
                </c:pt>
                <c:pt idx="5">
                  <c:v>0.125</c:v>
                </c:pt>
                <c:pt idx="6">
                  <c:v>0.154411764705882</c:v>
                </c:pt>
                <c:pt idx="7">
                  <c:v>0.176470588235294</c:v>
                </c:pt>
                <c:pt idx="8">
                  <c:v>0.210294117647059</c:v>
                </c:pt>
                <c:pt idx="9">
                  <c:v>0.220588235294118</c:v>
                </c:pt>
                <c:pt idx="10">
                  <c:v>0.264705882352941</c:v>
                </c:pt>
              </c:numCache>
            </c:numRef>
          </c:xVal>
          <c:yVal>
            <c:numRef>
              <c:f>'M3'!$D$8:$D$18</c:f>
              <c:numCache>
                <c:formatCode>General</c:formatCode>
                <c:ptCount val="11"/>
                <c:pt idx="0">
                  <c:v>0</c:v>
                </c:pt>
                <c:pt idx="1">
                  <c:v>1051.05105105105</c:v>
                </c:pt>
                <c:pt idx="2">
                  <c:v>22072.0720720721</c:v>
                </c:pt>
                <c:pt idx="3">
                  <c:v>43093.0930930931</c:v>
                </c:pt>
                <c:pt idx="4">
                  <c:v>85135.1351351351</c:v>
                </c:pt>
                <c:pt idx="5">
                  <c:v>106156.156156156</c:v>
                </c:pt>
                <c:pt idx="6">
                  <c:v>148198.198198198</c:v>
                </c:pt>
                <c:pt idx="7">
                  <c:v>169219.219219219</c:v>
                </c:pt>
                <c:pt idx="8">
                  <c:v>190240.24024024</c:v>
                </c:pt>
                <c:pt idx="9">
                  <c:v>200750.750750751</c:v>
                </c:pt>
                <c:pt idx="10">
                  <c:v>242792.792792793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085360"/>
        <c:axId val="414085752"/>
      </c:scatterChart>
      <c:valAx>
        <c:axId val="41408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085752"/>
        <c:crosses val="autoZero"/>
        <c:crossBetween val="midCat"/>
      </c:valAx>
      <c:valAx>
        <c:axId val="41408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08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'M4'!$C$8:$C$18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0.0181818181818182</c:v>
                </c:pt>
                <c:pt idx="3">
                  <c:v>0.0378787878787879</c:v>
                </c:pt>
                <c:pt idx="4">
                  <c:v>0.053030303030303</c:v>
                </c:pt>
                <c:pt idx="5">
                  <c:v>0.0606060606060606</c:v>
                </c:pt>
                <c:pt idx="6">
                  <c:v>0.0757575757575758</c:v>
                </c:pt>
                <c:pt idx="7">
                  <c:v>0.0833333333333333</c:v>
                </c:pt>
                <c:pt idx="8">
                  <c:v>0.0909090909090909</c:v>
                </c:pt>
                <c:pt idx="9">
                  <c:v>0.0969696969696971</c:v>
                </c:pt>
                <c:pt idx="10">
                  <c:v>0.106060606060606</c:v>
                </c:pt>
              </c:numCache>
            </c:numRef>
          </c:xVal>
          <c:yVal>
            <c:numRef>
              <c:f>'M4'!$D$8:$D$18</c:f>
              <c:numCache>
                <c:formatCode>General</c:formatCode>
                <c:ptCount val="11"/>
                <c:pt idx="0">
                  <c:v>0</c:v>
                </c:pt>
                <c:pt idx="1">
                  <c:v>6596.15384615385</c:v>
                </c:pt>
                <c:pt idx="2">
                  <c:v>38006.4102564103</c:v>
                </c:pt>
                <c:pt idx="3">
                  <c:v>69416.6666666667</c:v>
                </c:pt>
                <c:pt idx="4">
                  <c:v>100826.923076923</c:v>
                </c:pt>
                <c:pt idx="5">
                  <c:v>132237.17948718</c:v>
                </c:pt>
                <c:pt idx="6">
                  <c:v>163647.435897436</c:v>
                </c:pt>
                <c:pt idx="7">
                  <c:v>179352.564102564</c:v>
                </c:pt>
                <c:pt idx="8">
                  <c:v>195057.692307692</c:v>
                </c:pt>
                <c:pt idx="9">
                  <c:v>210762.820512821</c:v>
                </c:pt>
                <c:pt idx="10">
                  <c:v>226467.948717949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74824"/>
        <c:axId val="406876392"/>
      </c:scatterChart>
      <c:valAx>
        <c:axId val="406874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76392"/>
        <c:crosses val="autoZero"/>
        <c:crossBetween val="midCat"/>
      </c:valAx>
      <c:valAx>
        <c:axId val="40687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74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'M5'!$C$8:$C$18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0.0555555555555556</c:v>
                </c:pt>
                <c:pt idx="3">
                  <c:v>0.0833333333333333</c:v>
                </c:pt>
                <c:pt idx="4">
                  <c:v>0.125</c:v>
                </c:pt>
                <c:pt idx="5">
                  <c:v>0.194444444444444</c:v>
                </c:pt>
                <c:pt idx="6">
                  <c:v>0.263888888888889</c:v>
                </c:pt>
                <c:pt idx="7">
                  <c:v>0.333333333333333</c:v>
                </c:pt>
                <c:pt idx="8">
                  <c:v>0.375</c:v>
                </c:pt>
                <c:pt idx="9">
                  <c:v>0.416666666666667</c:v>
                </c:pt>
                <c:pt idx="10">
                  <c:v>0.555555555555556</c:v>
                </c:pt>
              </c:numCache>
            </c:numRef>
          </c:xVal>
          <c:yVal>
            <c:numRef>
              <c:f>'M5'!$D$8:$D$18</c:f>
              <c:numCache>
                <c:formatCode>General</c:formatCode>
                <c:ptCount val="11"/>
                <c:pt idx="0">
                  <c:v>0</c:v>
                </c:pt>
                <c:pt idx="1">
                  <c:v>5804.61538461539</c:v>
                </c:pt>
                <c:pt idx="2">
                  <c:v>43496.9230769231</c:v>
                </c:pt>
                <c:pt idx="3">
                  <c:v>81189.2307692308</c:v>
                </c:pt>
                <c:pt idx="4">
                  <c:v>118881.538461538</c:v>
                </c:pt>
                <c:pt idx="5">
                  <c:v>156573.846153846</c:v>
                </c:pt>
                <c:pt idx="6">
                  <c:v>194266.153846154</c:v>
                </c:pt>
                <c:pt idx="7">
                  <c:v>231958.461538462</c:v>
                </c:pt>
                <c:pt idx="8">
                  <c:v>269650.769230769</c:v>
                </c:pt>
                <c:pt idx="9">
                  <c:v>307343.076923077</c:v>
                </c:pt>
                <c:pt idx="10">
                  <c:v>382727.692307692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41752"/>
        <c:axId val="536039400"/>
      </c:scatterChart>
      <c:valAx>
        <c:axId val="53604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39400"/>
        <c:crosses val="autoZero"/>
        <c:crossBetween val="midCat"/>
      </c:valAx>
      <c:valAx>
        <c:axId val="53603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4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'M6'!$D$7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'M6'!$C$8:$C$17</c:f>
              <c:numCache>
                <c:formatCode>General</c:formatCode>
                <c:ptCount val="10"/>
                <c:pt idx="0">
                  <c:v>0</c:v>
                </c:pt>
                <c:pt idx="1">
                  <c:v>0.00593471810089008</c:v>
                </c:pt>
                <c:pt idx="2">
                  <c:v>0.0608308605341245</c:v>
                </c:pt>
                <c:pt idx="3">
                  <c:v>0.0682492581602373</c:v>
                </c:pt>
                <c:pt idx="4">
                  <c:v>0.121661721068249</c:v>
                </c:pt>
                <c:pt idx="5">
                  <c:v>0.140949554896142</c:v>
                </c:pt>
                <c:pt idx="6">
                  <c:v>0.169139465875371</c:v>
                </c:pt>
                <c:pt idx="7">
                  <c:v>0.181008902077151</c:v>
                </c:pt>
                <c:pt idx="8">
                  <c:v>0.197329376854599</c:v>
                </c:pt>
                <c:pt idx="9">
                  <c:v>0.213649851632047</c:v>
                </c:pt>
              </c:numCache>
            </c:numRef>
          </c:xVal>
          <c:yVal>
            <c:numRef>
              <c:f>'M6'!$D$8:$D$17</c:f>
              <c:numCache>
                <c:formatCode>General</c:formatCode>
                <c:ptCount val="10"/>
                <c:pt idx="0">
                  <c:v>0</c:v>
                </c:pt>
                <c:pt idx="1">
                  <c:v>3894.87179487179</c:v>
                </c:pt>
                <c:pt idx="2">
                  <c:v>54151.282051282</c:v>
                </c:pt>
                <c:pt idx="3">
                  <c:v>79279.4871794872</c:v>
                </c:pt>
                <c:pt idx="4">
                  <c:v>129535.897435897</c:v>
                </c:pt>
                <c:pt idx="5">
                  <c:v>154664.102564103</c:v>
                </c:pt>
                <c:pt idx="6">
                  <c:v>179792.307692308</c:v>
                </c:pt>
                <c:pt idx="7">
                  <c:v>204920.512820513</c:v>
                </c:pt>
                <c:pt idx="8">
                  <c:v>230048.717948718</c:v>
                </c:pt>
                <c:pt idx="9">
                  <c:v>255176.923076923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40184"/>
        <c:axId val="536040968"/>
      </c:scatterChart>
      <c:valAx>
        <c:axId val="536040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40968"/>
        <c:crosses val="autoZero"/>
        <c:crossBetween val="midCat"/>
      </c:valAx>
      <c:valAx>
        <c:axId val="53604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04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'M7'!$D$7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'M7'!$C$8:$C$18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0.0413223140495868</c:v>
                </c:pt>
                <c:pt idx="2">
                  <c:v>0.0578512396694215</c:v>
                </c:pt>
                <c:pt idx="3">
                  <c:v>0.0826446280991736</c:v>
                </c:pt>
                <c:pt idx="4">
                  <c:v>0.0909090909090909</c:v>
                </c:pt>
                <c:pt idx="5">
                  <c:v>0.12396694214876</c:v>
                </c:pt>
                <c:pt idx="6">
                  <c:v>0.148760330578512</c:v>
                </c:pt>
                <c:pt idx="7">
                  <c:v>0.173553719008264</c:v>
                </c:pt>
                <c:pt idx="8">
                  <c:v>0.190082644628099</c:v>
                </c:pt>
                <c:pt idx="9">
                  <c:v>0.223140495867769</c:v>
                </c:pt>
                <c:pt idx="10">
                  <c:v>0.239669421487603</c:v>
                </c:pt>
              </c:numCache>
            </c:numRef>
          </c:xVal>
          <c:yVal>
            <c:numRef>
              <c:f>'M7'!$D$8:$D$18</c:f>
              <c:numCache>
                <c:formatCode>General</c:formatCode>
                <c:ptCount val="11"/>
                <c:pt idx="0">
                  <c:v>0</c:v>
                </c:pt>
                <c:pt idx="1">
                  <c:v>51462.5641025641</c:v>
                </c:pt>
                <c:pt idx="2">
                  <c:v>101718.974358974</c:v>
                </c:pt>
                <c:pt idx="3">
                  <c:v>151975.384615385</c:v>
                </c:pt>
                <c:pt idx="4">
                  <c:v>177103.58974359</c:v>
                </c:pt>
                <c:pt idx="5">
                  <c:v>202231.794871795</c:v>
                </c:pt>
                <c:pt idx="6">
                  <c:v>227360</c:v>
                </c:pt>
                <c:pt idx="7">
                  <c:v>252488.205128205</c:v>
                </c:pt>
                <c:pt idx="8">
                  <c:v>277616.41025641</c:v>
                </c:pt>
                <c:pt idx="9">
                  <c:v>302744.615384615</c:v>
                </c:pt>
                <c:pt idx="10">
                  <c:v>327872.820512821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07000"/>
        <c:axId val="540006216"/>
      </c:scatterChart>
      <c:valAx>
        <c:axId val="540007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06216"/>
        <c:crosses val="autoZero"/>
        <c:crossBetween val="midCat"/>
      </c:valAx>
      <c:valAx>
        <c:axId val="54000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007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0.0126582278481013</c:v>
                </c:pt>
                <c:pt idx="2">
                  <c:v>0.0506329113924051</c:v>
                </c:pt>
                <c:pt idx="3">
                  <c:v>0.0569620253164557</c:v>
                </c:pt>
                <c:pt idx="4">
                  <c:v>0.0632911392405063</c:v>
                </c:pt>
                <c:pt idx="5">
                  <c:v>0.0759493670886076</c:v>
                </c:pt>
                <c:pt idx="6">
                  <c:v>0.113924050632911</c:v>
                </c:pt>
                <c:pt idx="7">
                  <c:v>0.139240506329114</c:v>
                </c:pt>
                <c:pt idx="8">
                  <c:v>0.158227848101266</c:v>
                </c:pt>
                <c:pt idx="9">
                  <c:v>0.189873417721519</c:v>
                </c:pt>
                <c:pt idx="10">
                  <c:v>0.227848101265823</c:v>
                </c:pt>
              </c:numCache>
            </c:numRef>
          </c:xVal>
          <c:yVal>
            <c:numRef>
              <c:f>'M8'!$D$8:$D$18</c:f>
              <c:numCache>
                <c:formatCode>General</c:formatCode>
                <c:ptCount val="11"/>
                <c:pt idx="0">
                  <c:v>0</c:v>
                </c:pt>
                <c:pt idx="1">
                  <c:v>36425.8461538462</c:v>
                </c:pt>
                <c:pt idx="2">
                  <c:v>66579.6923076923</c:v>
                </c:pt>
                <c:pt idx="3">
                  <c:v>81656.6153846154</c:v>
                </c:pt>
                <c:pt idx="4">
                  <c:v>96733.5384615385</c:v>
                </c:pt>
                <c:pt idx="5">
                  <c:v>111810.461538462</c:v>
                </c:pt>
                <c:pt idx="6">
                  <c:v>172118.153846154</c:v>
                </c:pt>
                <c:pt idx="7">
                  <c:v>187195.076923077</c:v>
                </c:pt>
                <c:pt idx="8">
                  <c:v>217348.923076923</c:v>
                </c:pt>
                <c:pt idx="9">
                  <c:v>247502.769230769</c:v>
                </c:pt>
                <c:pt idx="10">
                  <c:v>307810.461538462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07152"/>
        <c:axId val="533105192"/>
      </c:scatterChart>
      <c:valAx>
        <c:axId val="5331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05192"/>
        <c:crosses val="autoZero"/>
        <c:crossBetween val="midCat"/>
      </c:valAx>
      <c:valAx>
        <c:axId val="53310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0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114965004374453"/>
                  <c:y val="-0.1159069699620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'M9'!$C$8:$C$18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0.0072992700729927</c:v>
                </c:pt>
                <c:pt idx="2">
                  <c:v>0.0218978102189781</c:v>
                </c:pt>
                <c:pt idx="3">
                  <c:v>0.0364963503649635</c:v>
                </c:pt>
                <c:pt idx="4">
                  <c:v>0.0656934306569343</c:v>
                </c:pt>
                <c:pt idx="5">
                  <c:v>0.0948905109489051</c:v>
                </c:pt>
                <c:pt idx="6">
                  <c:v>0.124087591240876</c:v>
                </c:pt>
                <c:pt idx="7">
                  <c:v>0.153284671532847</c:v>
                </c:pt>
                <c:pt idx="8">
                  <c:v>0.182481751824818</c:v>
                </c:pt>
                <c:pt idx="9">
                  <c:v>0.211678832116788</c:v>
                </c:pt>
                <c:pt idx="10">
                  <c:v>0.27007299270073</c:v>
                </c:pt>
              </c:numCache>
            </c:numRef>
          </c:xVal>
          <c:yVal>
            <c:numRef>
              <c:f>'M9'!$D$8:$D$18</c:f>
              <c:numCache>
                <c:formatCode>General</c:formatCode>
                <c:ptCount val="11"/>
                <c:pt idx="0">
                  <c:v>0</c:v>
                </c:pt>
                <c:pt idx="1">
                  <c:v>1157.02479338843</c:v>
                </c:pt>
                <c:pt idx="2">
                  <c:v>12727.2727272727</c:v>
                </c:pt>
                <c:pt idx="3">
                  <c:v>24297.520661157</c:v>
                </c:pt>
                <c:pt idx="4">
                  <c:v>47438.0165289256</c:v>
                </c:pt>
                <c:pt idx="5">
                  <c:v>70578.5123966942</c:v>
                </c:pt>
                <c:pt idx="6">
                  <c:v>116859.504132231</c:v>
                </c:pt>
                <c:pt idx="7">
                  <c:v>140000</c:v>
                </c:pt>
                <c:pt idx="8">
                  <c:v>163140.495867769</c:v>
                </c:pt>
                <c:pt idx="9">
                  <c:v>174710.743801653</c:v>
                </c:pt>
                <c:pt idx="10">
                  <c:v>197851.239669421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95288"/>
        <c:axId val="739598032"/>
      </c:scatterChart>
      <c:valAx>
        <c:axId val="73959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98032"/>
        <c:crosses val="autoZero"/>
        <c:crossBetween val="midCat"/>
      </c:valAx>
      <c:valAx>
        <c:axId val="73959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95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'M10'!$C$8:$C$18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0.0142857142857143</c:v>
                </c:pt>
                <c:pt idx="2">
                  <c:v>0.0285714285714286</c:v>
                </c:pt>
                <c:pt idx="3">
                  <c:v>0.0571428571428571</c:v>
                </c:pt>
                <c:pt idx="4">
                  <c:v>0.0785714285714286</c:v>
                </c:pt>
                <c:pt idx="5">
                  <c:v>0.0857142857142857</c:v>
                </c:pt>
                <c:pt idx="6">
                  <c:v>0.1</c:v>
                </c:pt>
                <c:pt idx="7">
                  <c:v>0.114285714285714</c:v>
                </c:pt>
                <c:pt idx="8">
                  <c:v>0.171428571428571</c:v>
                </c:pt>
                <c:pt idx="9">
                  <c:v>0.214285714285714</c:v>
                </c:pt>
                <c:pt idx="10">
                  <c:v>0.228571428571429</c:v>
                </c:pt>
              </c:numCache>
            </c:numRef>
          </c:xVal>
          <c:yVal>
            <c:numRef>
              <c:f>'M10'!$D$8:$D$18</c:f>
              <c:numCache>
                <c:formatCode>General</c:formatCode>
                <c:ptCount val="11"/>
                <c:pt idx="0">
                  <c:v>0</c:v>
                </c:pt>
                <c:pt idx="1">
                  <c:v>36335.3846153846</c:v>
                </c:pt>
                <c:pt idx="2">
                  <c:v>66489.2307692308</c:v>
                </c:pt>
                <c:pt idx="3">
                  <c:v>96643.0769230769</c:v>
                </c:pt>
                <c:pt idx="4">
                  <c:v>126796.923076923</c:v>
                </c:pt>
                <c:pt idx="5">
                  <c:v>141873.846153846</c:v>
                </c:pt>
                <c:pt idx="6">
                  <c:v>156950.769230769</c:v>
                </c:pt>
                <c:pt idx="7">
                  <c:v>172027.692307692</c:v>
                </c:pt>
                <c:pt idx="8">
                  <c:v>232335.384615385</c:v>
                </c:pt>
                <c:pt idx="9">
                  <c:v>292643.076923077</c:v>
                </c:pt>
                <c:pt idx="10">
                  <c:v>322796.923076923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632440"/>
        <c:axId val="684630872"/>
      </c:scatterChart>
      <c:valAx>
        <c:axId val="684632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30872"/>
        <c:crosses val="autoZero"/>
        <c:crossBetween val="midCat"/>
      </c:valAx>
      <c:valAx>
        <c:axId val="68463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32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'M11'!$C$8:$C$18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0.0138888888888889</c:v>
                </c:pt>
                <c:pt idx="2">
                  <c:v>0.0416666666666667</c:v>
                </c:pt>
                <c:pt idx="3">
                  <c:v>0.0555555555555556</c:v>
                </c:pt>
                <c:pt idx="4">
                  <c:v>0.0694444444444444</c:v>
                </c:pt>
                <c:pt idx="5">
                  <c:v>0.0763888888888889</c:v>
                </c:pt>
                <c:pt idx="6">
                  <c:v>0.0972222222222222</c:v>
                </c:pt>
                <c:pt idx="7">
                  <c:v>0.104166666666667</c:v>
                </c:pt>
                <c:pt idx="8">
                  <c:v>0.111111111111111</c:v>
                </c:pt>
                <c:pt idx="9">
                  <c:v>0.125</c:v>
                </c:pt>
                <c:pt idx="10">
                  <c:v>0.131944444444444</c:v>
                </c:pt>
              </c:numCache>
            </c:numRef>
          </c:xVal>
          <c:yVal>
            <c:numRef>
              <c:f>'M11'!$D$8:$D$18</c:f>
              <c:numCache>
                <c:formatCode>General</c:formatCode>
                <c:ptCount val="11"/>
                <c:pt idx="0">
                  <c:v>0</c:v>
                </c:pt>
                <c:pt idx="1">
                  <c:v>4307.69230769231</c:v>
                </c:pt>
                <c:pt idx="2">
                  <c:v>25846.1538461538</c:v>
                </c:pt>
                <c:pt idx="3">
                  <c:v>47384.6153846154</c:v>
                </c:pt>
                <c:pt idx="4">
                  <c:v>68923.0769230769</c:v>
                </c:pt>
                <c:pt idx="5">
                  <c:v>79692.3076923077</c:v>
                </c:pt>
                <c:pt idx="6">
                  <c:v>101230.769230769</c:v>
                </c:pt>
                <c:pt idx="7">
                  <c:v>112000</c:v>
                </c:pt>
                <c:pt idx="8">
                  <c:v>122769.230769231</c:v>
                </c:pt>
                <c:pt idx="9">
                  <c:v>133538.461538462</c:v>
                </c:pt>
                <c:pt idx="10">
                  <c:v>144307.692307692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96464"/>
        <c:axId val="377952512"/>
      </c:scatterChart>
      <c:valAx>
        <c:axId val="73959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952512"/>
        <c:crosses val="autoZero"/>
        <c:crossBetween val="midCat"/>
      </c:valAx>
      <c:valAx>
        <c:axId val="3779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9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'M12'!$C$8:$C$18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0.00694444444444444</c:v>
                </c:pt>
                <c:pt idx="2">
                  <c:v>0.0277777777777778</c:v>
                </c:pt>
                <c:pt idx="3">
                  <c:v>0.0555555555555556</c:v>
                </c:pt>
                <c:pt idx="4">
                  <c:v>0.111111111111111</c:v>
                </c:pt>
                <c:pt idx="5">
                  <c:v>0.136111111111111</c:v>
                </c:pt>
                <c:pt idx="6">
                  <c:v>0.166666666666667</c:v>
                </c:pt>
                <c:pt idx="7">
                  <c:v>0.219444444444444</c:v>
                </c:pt>
                <c:pt idx="8">
                  <c:v>0.229166666666667</c:v>
                </c:pt>
                <c:pt idx="9">
                  <c:v>0.263888888888889</c:v>
                </c:pt>
                <c:pt idx="10">
                  <c:v>0.275</c:v>
                </c:pt>
              </c:numCache>
            </c:numRef>
          </c:xVal>
          <c:yVal>
            <c:numRef>
              <c:f>'M12'!$D$8:$D$18</c:f>
              <c:numCache>
                <c:formatCode>General</c:formatCode>
                <c:ptCount val="11"/>
                <c:pt idx="0">
                  <c:v>0</c:v>
                </c:pt>
                <c:pt idx="1">
                  <c:v>3894.87179487179</c:v>
                </c:pt>
                <c:pt idx="2">
                  <c:v>29023.0769230769</c:v>
                </c:pt>
                <c:pt idx="3">
                  <c:v>54151.282051282</c:v>
                </c:pt>
                <c:pt idx="4">
                  <c:v>104407.692307692</c:v>
                </c:pt>
                <c:pt idx="5">
                  <c:v>129535.897435897</c:v>
                </c:pt>
                <c:pt idx="6">
                  <c:v>154664.102564103</c:v>
                </c:pt>
                <c:pt idx="7">
                  <c:v>204920.512820513</c:v>
                </c:pt>
                <c:pt idx="8">
                  <c:v>208187.179487179</c:v>
                </c:pt>
                <c:pt idx="9">
                  <c:v>233315.384615385</c:v>
                </c:pt>
                <c:pt idx="10">
                  <c:v>236531.794871795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84176"/>
        <c:axId val="159184568"/>
      </c:scatterChart>
      <c:valAx>
        <c:axId val="15918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84568"/>
        <c:crosses val="autoZero"/>
        <c:crossBetween val="midCat"/>
      </c:valAx>
      <c:valAx>
        <c:axId val="159184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8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'M13'!$C$8:$C$18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0.032520325203252</c:v>
                </c:pt>
                <c:pt idx="2">
                  <c:v>0.0439024390243903</c:v>
                </c:pt>
                <c:pt idx="3">
                  <c:v>0.0650406504065041</c:v>
                </c:pt>
                <c:pt idx="4">
                  <c:v>0.0813008130081301</c:v>
                </c:pt>
                <c:pt idx="5">
                  <c:v>0.0975609756097561</c:v>
                </c:pt>
                <c:pt idx="6">
                  <c:v>0.130081300813008</c:v>
                </c:pt>
                <c:pt idx="7">
                  <c:v>0.157723577235772</c:v>
                </c:pt>
                <c:pt idx="8">
                  <c:v>0.170731707317073</c:v>
                </c:pt>
                <c:pt idx="9">
                  <c:v>0.185365853658537</c:v>
                </c:pt>
                <c:pt idx="10">
                  <c:v>0.2</c:v>
                </c:pt>
              </c:numCache>
            </c:numRef>
          </c:xVal>
          <c:yVal>
            <c:numRef>
              <c:f>'M13'!$D$8:$D$18</c:f>
              <c:numCache>
                <c:formatCode>General</c:formatCode>
                <c:ptCount val="11"/>
                <c:pt idx="0">
                  <c:v>0</c:v>
                </c:pt>
                <c:pt idx="1">
                  <c:v>26950</c:v>
                </c:pt>
                <c:pt idx="2">
                  <c:v>50969.6078431373</c:v>
                </c:pt>
                <c:pt idx="3">
                  <c:v>74989.2156862745</c:v>
                </c:pt>
                <c:pt idx="4">
                  <c:v>99008.8235294118</c:v>
                </c:pt>
                <c:pt idx="5">
                  <c:v>123028.431372549</c:v>
                </c:pt>
                <c:pt idx="6">
                  <c:v>147048.039215686</c:v>
                </c:pt>
                <c:pt idx="7">
                  <c:v>171067.647058824</c:v>
                </c:pt>
                <c:pt idx="8">
                  <c:v>183077.450980392</c:v>
                </c:pt>
                <c:pt idx="9">
                  <c:v>195087.254901961</c:v>
                </c:pt>
                <c:pt idx="10">
                  <c:v>207097.058823529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96856"/>
        <c:axId val="739594896"/>
      </c:scatterChart>
      <c:valAx>
        <c:axId val="739596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94896"/>
        <c:crosses val="autoZero"/>
        <c:crossBetween val="midCat"/>
      </c:valAx>
      <c:valAx>
        <c:axId val="7395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96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'M14'!$C$8:$C$18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0.013095238095238</c:v>
                </c:pt>
                <c:pt idx="2">
                  <c:v>0.0416666666666667</c:v>
                </c:pt>
                <c:pt idx="3">
                  <c:v>0.0630952380952381</c:v>
                </c:pt>
                <c:pt idx="4">
                  <c:v>0.0714285714285714</c:v>
                </c:pt>
                <c:pt idx="5">
                  <c:v>0.110714285714286</c:v>
                </c:pt>
                <c:pt idx="6">
                  <c:v>0.133333333333333</c:v>
                </c:pt>
                <c:pt idx="7">
                  <c:v>0.155952380952381</c:v>
                </c:pt>
                <c:pt idx="8">
                  <c:v>0.171428571428571</c:v>
                </c:pt>
                <c:pt idx="9">
                  <c:v>0.19047619047619</c:v>
                </c:pt>
                <c:pt idx="10">
                  <c:v>0.205952380952381</c:v>
                </c:pt>
              </c:numCache>
            </c:numRef>
          </c:xVal>
          <c:yVal>
            <c:numRef>
              <c:f>'M14'!$D$8:$D$18</c:f>
              <c:numCache>
                <c:formatCode>General</c:formatCode>
                <c:ptCount val="11"/>
                <c:pt idx="0">
                  <c:v>0</c:v>
                </c:pt>
                <c:pt idx="1">
                  <c:v>16433.8461538462</c:v>
                </c:pt>
                <c:pt idx="2">
                  <c:v>41562.0512820513</c:v>
                </c:pt>
                <c:pt idx="3">
                  <c:v>66690.2564102564</c:v>
                </c:pt>
                <c:pt idx="4">
                  <c:v>91818.4615384615</c:v>
                </c:pt>
                <c:pt idx="5">
                  <c:v>116946.666666667</c:v>
                </c:pt>
                <c:pt idx="6">
                  <c:v>142074.871794872</c:v>
                </c:pt>
                <c:pt idx="7">
                  <c:v>154638.974358974</c:v>
                </c:pt>
                <c:pt idx="8">
                  <c:v>167203.076923077</c:v>
                </c:pt>
                <c:pt idx="9">
                  <c:v>192331.282051282</c:v>
                </c:pt>
                <c:pt idx="10">
                  <c:v>204895.384615385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86528"/>
        <c:axId val="159187312"/>
      </c:scatterChart>
      <c:valAx>
        <c:axId val="15918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87312"/>
        <c:crosses val="autoZero"/>
        <c:crossBetween val="midCat"/>
      </c:valAx>
      <c:valAx>
        <c:axId val="1591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8652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'M15'!$D$7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'M15'!$C$8:$C$18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0.0315789473684211</c:v>
                </c:pt>
                <c:pt idx="2">
                  <c:v>0.0539473684210526</c:v>
                </c:pt>
                <c:pt idx="3">
                  <c:v>0.0710526315789474</c:v>
                </c:pt>
                <c:pt idx="4">
                  <c:v>0.0947368421052632</c:v>
                </c:pt>
                <c:pt idx="5">
                  <c:v>0.106578947368421</c:v>
                </c:pt>
                <c:pt idx="6">
                  <c:v>0.146052631578947</c:v>
                </c:pt>
                <c:pt idx="7">
                  <c:v>0.157894736842105</c:v>
                </c:pt>
                <c:pt idx="8">
                  <c:v>0.190789473684211</c:v>
                </c:pt>
                <c:pt idx="9">
                  <c:v>0.214473684210526</c:v>
                </c:pt>
                <c:pt idx="10">
                  <c:v>0.247368421052632</c:v>
                </c:pt>
              </c:numCache>
            </c:numRef>
          </c:xVal>
          <c:yVal>
            <c:numRef>
              <c:f>'M15'!$D$8:$D$18</c:f>
              <c:numCache>
                <c:formatCode>General</c:formatCode>
                <c:ptCount val="11"/>
                <c:pt idx="0">
                  <c:v>0</c:v>
                </c:pt>
                <c:pt idx="1">
                  <c:v>43421.5384615385</c:v>
                </c:pt>
                <c:pt idx="2">
                  <c:v>81113.8461538462</c:v>
                </c:pt>
                <c:pt idx="3">
                  <c:v>118806.153846154</c:v>
                </c:pt>
                <c:pt idx="4">
                  <c:v>156498.461538462</c:v>
                </c:pt>
                <c:pt idx="5">
                  <c:v>194190.769230769</c:v>
                </c:pt>
                <c:pt idx="6">
                  <c:v>231883.076923077</c:v>
                </c:pt>
                <c:pt idx="7">
                  <c:v>269575.384615385</c:v>
                </c:pt>
                <c:pt idx="8">
                  <c:v>307267.692307692</c:v>
                </c:pt>
                <c:pt idx="9">
                  <c:v>344960</c:v>
                </c:pt>
                <c:pt idx="10">
                  <c:v>382652.307692308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95680"/>
        <c:axId val="739597640"/>
      </c:scatterChart>
      <c:valAx>
        <c:axId val="73959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97640"/>
        <c:crosses val="autoZero"/>
        <c:crossBetween val="midCat"/>
      </c:valAx>
      <c:valAx>
        <c:axId val="73959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59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'M16'!$D$7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'M16'!$C$8:$C$18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0.0261660978384528</c:v>
                </c:pt>
                <c:pt idx="2">
                  <c:v>0.0466439135381114</c:v>
                </c:pt>
                <c:pt idx="3">
                  <c:v>0.08646188850967</c:v>
                </c:pt>
                <c:pt idx="4">
                  <c:v>0.11490329920364</c:v>
                </c:pt>
                <c:pt idx="5">
                  <c:v>0.143344709897611</c:v>
                </c:pt>
                <c:pt idx="6">
                  <c:v>0.154721274175199</c:v>
                </c:pt>
                <c:pt idx="7">
                  <c:v>0.193401592718999</c:v>
                </c:pt>
                <c:pt idx="8">
                  <c:v>0.226393629124004</c:v>
                </c:pt>
                <c:pt idx="9">
                  <c:v>0.251422070534698</c:v>
                </c:pt>
                <c:pt idx="10">
                  <c:v>0.270762229806598</c:v>
                </c:pt>
              </c:numCache>
            </c:numRef>
          </c:xVal>
          <c:yVal>
            <c:numRef>
              <c:f>'M16'!$D$8:$D$18</c:f>
              <c:numCache>
                <c:formatCode>General</c:formatCode>
                <c:ptCount val="11"/>
                <c:pt idx="0">
                  <c:v>0</c:v>
                </c:pt>
                <c:pt idx="1">
                  <c:v>26334.358974359</c:v>
                </c:pt>
                <c:pt idx="2">
                  <c:v>51462.5641025641</c:v>
                </c:pt>
                <c:pt idx="3">
                  <c:v>76590.7692307692</c:v>
                </c:pt>
                <c:pt idx="4">
                  <c:v>101718.974358974</c:v>
                </c:pt>
                <c:pt idx="5">
                  <c:v>151975.384615385</c:v>
                </c:pt>
                <c:pt idx="6">
                  <c:v>202231.794871795</c:v>
                </c:pt>
                <c:pt idx="7">
                  <c:v>227360</c:v>
                </c:pt>
                <c:pt idx="8">
                  <c:v>252488.205128205</c:v>
                </c:pt>
                <c:pt idx="9">
                  <c:v>277616.41025641</c:v>
                </c:pt>
                <c:pt idx="10">
                  <c:v>302744.615384615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75216"/>
        <c:axId val="406875608"/>
      </c:scatterChart>
      <c:valAx>
        <c:axId val="40687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75608"/>
        <c:crosses val="autoZero"/>
        <c:crossBetween val="midCat"/>
      </c:valAx>
      <c:valAx>
        <c:axId val="40687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7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'M17'!$C$8:$C$18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0.0145348837209302</c:v>
                </c:pt>
                <c:pt idx="2">
                  <c:v>0.0537790697674419</c:v>
                </c:pt>
                <c:pt idx="3">
                  <c:v>0.0872093023255814</c:v>
                </c:pt>
                <c:pt idx="4">
                  <c:v>0.133720930232558</c:v>
                </c:pt>
                <c:pt idx="5">
                  <c:v>0.159883720930233</c:v>
                </c:pt>
                <c:pt idx="6">
                  <c:v>0.186046511627907</c:v>
                </c:pt>
                <c:pt idx="7">
                  <c:v>0.206395348837209</c:v>
                </c:pt>
                <c:pt idx="8">
                  <c:v>0.234011627906977</c:v>
                </c:pt>
                <c:pt idx="9">
                  <c:v>0.252906976744186</c:v>
                </c:pt>
                <c:pt idx="10">
                  <c:v>0.273255813953488</c:v>
                </c:pt>
              </c:numCache>
            </c:numRef>
          </c:xVal>
          <c:yVal>
            <c:numRef>
              <c:f>'M17'!$D$8:$D$18</c:f>
              <c:numCache>
                <c:formatCode>General</c:formatCode>
                <c:ptCount val="11"/>
                <c:pt idx="0">
                  <c:v>0</c:v>
                </c:pt>
                <c:pt idx="1">
                  <c:v>4087.78625954199</c:v>
                </c:pt>
                <c:pt idx="2">
                  <c:v>57522.9007633588</c:v>
                </c:pt>
                <c:pt idx="3">
                  <c:v>84240.4580152672</c:v>
                </c:pt>
                <c:pt idx="4">
                  <c:v>137675.572519084</c:v>
                </c:pt>
                <c:pt idx="5">
                  <c:v>164393.129770992</c:v>
                </c:pt>
                <c:pt idx="6">
                  <c:v>191110.687022901</c:v>
                </c:pt>
                <c:pt idx="7">
                  <c:v>217828.244274809</c:v>
                </c:pt>
                <c:pt idx="8">
                  <c:v>244545.801526718</c:v>
                </c:pt>
                <c:pt idx="9">
                  <c:v>248446.564885496</c:v>
                </c:pt>
                <c:pt idx="10">
                  <c:v>275164.122137405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642624"/>
        <c:axId val="377643016"/>
      </c:scatterChart>
      <c:valAx>
        <c:axId val="3776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643016"/>
        <c:crosses val="autoZero"/>
        <c:crossBetween val="midCat"/>
      </c:valAx>
      <c:valAx>
        <c:axId val="37764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64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0.0072463768115942</c:v>
                </c:pt>
                <c:pt idx="2">
                  <c:v>0.0115942028985507</c:v>
                </c:pt>
                <c:pt idx="3">
                  <c:v>0.0159420289855072</c:v>
                </c:pt>
                <c:pt idx="4">
                  <c:v>0.0289855072463768</c:v>
                </c:pt>
                <c:pt idx="5">
                  <c:v>0.0405797101449275</c:v>
                </c:pt>
                <c:pt idx="6">
                  <c:v>0.0507246376811594</c:v>
                </c:pt>
                <c:pt idx="7">
                  <c:v>0.0695652173913043</c:v>
                </c:pt>
                <c:pt idx="8">
                  <c:v>0.0869565217391304</c:v>
                </c:pt>
                <c:pt idx="9">
                  <c:v>0.108695652173913</c:v>
                </c:pt>
                <c:pt idx="10">
                  <c:v>0.144927536231884</c:v>
                </c:pt>
              </c:numCache>
            </c:numRef>
          </c:xVal>
          <c:yVal>
            <c:numRef>
              <c:f>'M18'!$D$8:$D$18</c:f>
              <c:numCache>
                <c:formatCode>General</c:formatCode>
                <c:ptCount val="11"/>
                <c:pt idx="0">
                  <c:v>0</c:v>
                </c:pt>
                <c:pt idx="1">
                  <c:v>5486.00508905852</c:v>
                </c:pt>
                <c:pt idx="2">
                  <c:v>12895.6743002545</c:v>
                </c:pt>
                <c:pt idx="3">
                  <c:v>30707.37913486</c:v>
                </c:pt>
                <c:pt idx="4">
                  <c:v>48519.0839694656</c:v>
                </c:pt>
                <c:pt idx="5">
                  <c:v>66330.7888040712</c:v>
                </c:pt>
                <c:pt idx="6">
                  <c:v>84142.4936386768</c:v>
                </c:pt>
                <c:pt idx="7">
                  <c:v>101954.198473282</c:v>
                </c:pt>
                <c:pt idx="8">
                  <c:v>119765.903307888</c:v>
                </c:pt>
                <c:pt idx="9">
                  <c:v>155389.312977099</c:v>
                </c:pt>
                <c:pt idx="10">
                  <c:v>191012.72264631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52120"/>
        <c:axId val="377951728"/>
      </c:scatterChart>
      <c:valAx>
        <c:axId val="37795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951728"/>
        <c:crosses val="autoZero"/>
        <c:crossBetween val="midCat"/>
      </c:valAx>
      <c:valAx>
        <c:axId val="3779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952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'M19'!$D$7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'M19'!$C$8:$C$18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0.028169014084507</c:v>
                </c:pt>
                <c:pt idx="3">
                  <c:v>0.0704225352112676</c:v>
                </c:pt>
                <c:pt idx="4">
                  <c:v>0.0985915492957746</c:v>
                </c:pt>
                <c:pt idx="5">
                  <c:v>0.169014084507042</c:v>
                </c:pt>
                <c:pt idx="6">
                  <c:v>0.23943661971831</c:v>
                </c:pt>
                <c:pt idx="7">
                  <c:v>0.253521126760563</c:v>
                </c:pt>
                <c:pt idx="8">
                  <c:v>0.295774647887324</c:v>
                </c:pt>
                <c:pt idx="9">
                  <c:v>0.352112676056338</c:v>
                </c:pt>
                <c:pt idx="10">
                  <c:v>0.408450704225352</c:v>
                </c:pt>
              </c:numCache>
            </c:numRef>
          </c:xVal>
          <c:yVal>
            <c:numRef>
              <c:f>'M19'!$D$8:$D$18</c:f>
              <c:numCache>
                <c:formatCode>General</c:formatCode>
                <c:ptCount val="11"/>
                <c:pt idx="0">
                  <c:v>0</c:v>
                </c:pt>
                <c:pt idx="1">
                  <c:v>6365.81196581197</c:v>
                </c:pt>
                <c:pt idx="2">
                  <c:v>48246.1538461538</c:v>
                </c:pt>
                <c:pt idx="3">
                  <c:v>90126.4957264957</c:v>
                </c:pt>
                <c:pt idx="4">
                  <c:v>132006.837606838</c:v>
                </c:pt>
                <c:pt idx="5">
                  <c:v>215767.521367521</c:v>
                </c:pt>
                <c:pt idx="6">
                  <c:v>299528.205128205</c:v>
                </c:pt>
                <c:pt idx="7">
                  <c:v>341408.547008547</c:v>
                </c:pt>
                <c:pt idx="8">
                  <c:v>383288.888888889</c:v>
                </c:pt>
                <c:pt idx="9">
                  <c:v>425169.230769231</c:v>
                </c:pt>
                <c:pt idx="10">
                  <c:v>513117.948717949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06368"/>
        <c:axId val="533108720"/>
      </c:scatterChart>
      <c:valAx>
        <c:axId val="53310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08720"/>
        <c:crosses val="autoZero"/>
        <c:crossBetween val="midCat"/>
      </c:valAx>
      <c:valAx>
        <c:axId val="5331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0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'M20'!$C$8:$C$18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0.0208333333333333</c:v>
                </c:pt>
                <c:pt idx="3">
                  <c:v>0.0347222222222222</c:v>
                </c:pt>
                <c:pt idx="4">
                  <c:v>0.0555555555555556</c:v>
                </c:pt>
                <c:pt idx="5">
                  <c:v>0.0694444444444444</c:v>
                </c:pt>
                <c:pt idx="6">
                  <c:v>0.0833333333333333</c:v>
                </c:pt>
                <c:pt idx="7">
                  <c:v>0.0902777777777778</c:v>
                </c:pt>
                <c:pt idx="8">
                  <c:v>0.0972222222222222</c:v>
                </c:pt>
                <c:pt idx="9">
                  <c:v>0.111111111111111</c:v>
                </c:pt>
                <c:pt idx="10">
                  <c:v>0.125</c:v>
                </c:pt>
              </c:numCache>
            </c:numRef>
          </c:xVal>
          <c:yVal>
            <c:numRef>
              <c:f>'M20'!$D$8:$D$18</c:f>
              <c:numCache>
                <c:formatCode>General</c:formatCode>
                <c:ptCount val="11"/>
                <c:pt idx="0">
                  <c:v>0</c:v>
                </c:pt>
                <c:pt idx="1">
                  <c:v>6332.30769230769</c:v>
                </c:pt>
                <c:pt idx="2">
                  <c:v>36486.1538461539</c:v>
                </c:pt>
                <c:pt idx="3">
                  <c:v>66640</c:v>
                </c:pt>
                <c:pt idx="4">
                  <c:v>96793.8461538462</c:v>
                </c:pt>
                <c:pt idx="5">
                  <c:v>126947.692307692</c:v>
                </c:pt>
                <c:pt idx="6">
                  <c:v>157101.538461538</c:v>
                </c:pt>
                <c:pt idx="7">
                  <c:v>172178.461538462</c:v>
                </c:pt>
                <c:pt idx="8">
                  <c:v>187255.384615385</c:v>
                </c:pt>
                <c:pt idx="9">
                  <c:v>202332.307692308</c:v>
                </c:pt>
                <c:pt idx="10">
                  <c:v>217409.230769231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631264"/>
        <c:axId val="684631656"/>
      </c:scatterChart>
      <c:valAx>
        <c:axId val="6846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31656"/>
        <c:crosses val="autoZero"/>
        <c:crossBetween val="midCat"/>
      </c:valAx>
      <c:valAx>
        <c:axId val="68463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3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'M21'!$C$8:$C$18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0.0147058823529412</c:v>
                </c:pt>
                <c:pt idx="3">
                  <c:v>0.0294117647058824</c:v>
                </c:pt>
                <c:pt idx="4">
                  <c:v>0.0514705882352941</c:v>
                </c:pt>
                <c:pt idx="5">
                  <c:v>0.0735294117647059</c:v>
                </c:pt>
                <c:pt idx="6">
                  <c:v>0.102941176470588</c:v>
                </c:pt>
                <c:pt idx="7">
                  <c:v>0.105882352941177</c:v>
                </c:pt>
                <c:pt idx="8">
                  <c:v>0.117647058823529</c:v>
                </c:pt>
                <c:pt idx="9">
                  <c:v>0.119117647058823</c:v>
                </c:pt>
                <c:pt idx="10">
                  <c:v>0.132352941176471</c:v>
                </c:pt>
              </c:numCache>
            </c:numRef>
          </c:xVal>
          <c:yVal>
            <c:numRef>
              <c:f>'M21'!$D$8:$D$18</c:f>
              <c:numCache>
                <c:formatCode>General</c:formatCode>
                <c:ptCount val="11"/>
                <c:pt idx="0">
                  <c:v>0</c:v>
                </c:pt>
                <c:pt idx="1">
                  <c:v>1606.02006688963</c:v>
                </c:pt>
                <c:pt idx="2">
                  <c:v>34381.9397993311</c:v>
                </c:pt>
                <c:pt idx="3">
                  <c:v>67157.8595317726</c:v>
                </c:pt>
                <c:pt idx="4">
                  <c:v>132709.698996656</c:v>
                </c:pt>
                <c:pt idx="5">
                  <c:v>165485.618729097</c:v>
                </c:pt>
                <c:pt idx="6">
                  <c:v>198261.538461538</c:v>
                </c:pt>
                <c:pt idx="7">
                  <c:v>231037.45819398</c:v>
                </c:pt>
                <c:pt idx="8">
                  <c:v>263813.377926421</c:v>
                </c:pt>
                <c:pt idx="9">
                  <c:v>280201.337792642</c:v>
                </c:pt>
                <c:pt idx="10">
                  <c:v>296589.297658863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06760"/>
        <c:axId val="533107936"/>
      </c:scatterChart>
      <c:valAx>
        <c:axId val="53310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07936"/>
        <c:crosses val="autoZero"/>
        <c:crossBetween val="midCat"/>
      </c:valAx>
      <c:valAx>
        <c:axId val="5331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06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632355643044619"/>
                  <c:y val="-0.0281944444444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'M22'!$C$8:$C$18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0.00428571428571425</c:v>
                </c:pt>
                <c:pt idx="2">
                  <c:v>0.0142857142857143</c:v>
                </c:pt>
                <c:pt idx="3">
                  <c:v>0.05</c:v>
                </c:pt>
                <c:pt idx="4">
                  <c:v>0.0785714285714286</c:v>
                </c:pt>
                <c:pt idx="5">
                  <c:v>0.0857142857142857</c:v>
                </c:pt>
                <c:pt idx="6">
                  <c:v>0.0928571428571429</c:v>
                </c:pt>
                <c:pt idx="7">
                  <c:v>0.1</c:v>
                </c:pt>
                <c:pt idx="8">
                  <c:v>0.107142857142857</c:v>
                </c:pt>
                <c:pt idx="9">
                  <c:v>0.142857142857143</c:v>
                </c:pt>
                <c:pt idx="10">
                  <c:v>0.161428571428571</c:v>
                </c:pt>
              </c:numCache>
            </c:numRef>
          </c:xVal>
          <c:yVal>
            <c:numRef>
              <c:f>'M22'!$D$8:$D$18</c:f>
              <c:numCache>
                <c:formatCode>General</c:formatCode>
                <c:ptCount val="11"/>
                <c:pt idx="0">
                  <c:v>0</c:v>
                </c:pt>
                <c:pt idx="1">
                  <c:v>15970.3703703704</c:v>
                </c:pt>
                <c:pt idx="2">
                  <c:v>30488.8888888889</c:v>
                </c:pt>
                <c:pt idx="3">
                  <c:v>59525.9259259259</c:v>
                </c:pt>
                <c:pt idx="4">
                  <c:v>88562.962962963</c:v>
                </c:pt>
                <c:pt idx="5">
                  <c:v>103081.481481481</c:v>
                </c:pt>
                <c:pt idx="6">
                  <c:v>117600</c:v>
                </c:pt>
                <c:pt idx="7">
                  <c:v>132118.518518519</c:v>
                </c:pt>
                <c:pt idx="8">
                  <c:v>146637.037037037</c:v>
                </c:pt>
                <c:pt idx="9">
                  <c:v>161155.555555556</c:v>
                </c:pt>
                <c:pt idx="10">
                  <c:v>174541.62962963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87624"/>
        <c:axId val="681888016"/>
      </c:scatterChart>
      <c:valAx>
        <c:axId val="68188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8016"/>
        <c:crosses val="autoZero"/>
        <c:crossBetween val="midCat"/>
      </c:valAx>
      <c:valAx>
        <c:axId val="6818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'M23'!$C$8:$C$18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0.0340909090909091</c:v>
                </c:pt>
                <c:pt idx="2">
                  <c:v>0.0454545454545455</c:v>
                </c:pt>
                <c:pt idx="3">
                  <c:v>0.0681818181818182</c:v>
                </c:pt>
                <c:pt idx="4">
                  <c:v>0.0909090909090909</c:v>
                </c:pt>
                <c:pt idx="5">
                  <c:v>0.102272727272727</c:v>
                </c:pt>
                <c:pt idx="6">
                  <c:v>0.136363636363636</c:v>
                </c:pt>
                <c:pt idx="7">
                  <c:v>0.164772727272727</c:v>
                </c:pt>
                <c:pt idx="8">
                  <c:v>0.221590909090909</c:v>
                </c:pt>
                <c:pt idx="9">
                  <c:v>0.244318181818182</c:v>
                </c:pt>
                <c:pt idx="10">
                  <c:v>0.267045454545455</c:v>
                </c:pt>
              </c:numCache>
            </c:numRef>
          </c:xVal>
          <c:yVal>
            <c:numRef>
              <c:f>'M23'!$D$8:$D$18</c:f>
              <c:numCache>
                <c:formatCode>General</c:formatCode>
                <c:ptCount val="11"/>
                <c:pt idx="0">
                  <c:v>0</c:v>
                </c:pt>
                <c:pt idx="1">
                  <c:v>26158.2697201018</c:v>
                </c:pt>
                <c:pt idx="2">
                  <c:v>51094.6564885496</c:v>
                </c:pt>
                <c:pt idx="3">
                  <c:v>76031.0432569975</c:v>
                </c:pt>
                <c:pt idx="4">
                  <c:v>100967.430025445</c:v>
                </c:pt>
                <c:pt idx="5">
                  <c:v>125903.816793893</c:v>
                </c:pt>
                <c:pt idx="6">
                  <c:v>150840.203562341</c:v>
                </c:pt>
                <c:pt idx="7">
                  <c:v>175776.590330789</c:v>
                </c:pt>
                <c:pt idx="8">
                  <c:v>225649.363867684</c:v>
                </c:pt>
                <c:pt idx="9">
                  <c:v>250585.750636132</c:v>
                </c:pt>
                <c:pt idx="10">
                  <c:v>275522.13740458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643408"/>
        <c:axId val="377644976"/>
      </c:scatterChart>
      <c:valAx>
        <c:axId val="37764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644976"/>
        <c:crosses val="autoZero"/>
        <c:crossBetween val="midCat"/>
      </c:valAx>
      <c:valAx>
        <c:axId val="3776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64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'M24'!$C$8:$C$18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0.00808625336927216</c:v>
                </c:pt>
                <c:pt idx="2">
                  <c:v>0.0107816711590296</c:v>
                </c:pt>
                <c:pt idx="3">
                  <c:v>0.0242587601078167</c:v>
                </c:pt>
                <c:pt idx="4">
                  <c:v>0.0309973045822102</c:v>
                </c:pt>
                <c:pt idx="5">
                  <c:v>0.0512129380053908</c:v>
                </c:pt>
                <c:pt idx="6">
                  <c:v>0.0646900269541779</c:v>
                </c:pt>
                <c:pt idx="7">
                  <c:v>0.07277628032345</c:v>
                </c:pt>
                <c:pt idx="8">
                  <c:v>0.0997304582210241</c:v>
                </c:pt>
                <c:pt idx="9">
                  <c:v>0.10377358490566</c:v>
                </c:pt>
                <c:pt idx="10">
                  <c:v>0.129380053908356</c:v>
                </c:pt>
              </c:numCache>
            </c:numRef>
          </c:xVal>
          <c:yVal>
            <c:numRef>
              <c:f>'M24'!$D$8:$D$18</c:f>
              <c:numCache>
                <c:formatCode>General</c:formatCode>
                <c:ptCount val="11"/>
                <c:pt idx="0">
                  <c:v>0</c:v>
                </c:pt>
                <c:pt idx="1">
                  <c:v>7877.69230769231</c:v>
                </c:pt>
                <c:pt idx="2">
                  <c:v>13682.3076923077</c:v>
                </c:pt>
                <c:pt idx="3">
                  <c:v>32528.4615384615</c:v>
                </c:pt>
                <c:pt idx="4">
                  <c:v>51374.6153846154</c:v>
                </c:pt>
                <c:pt idx="5">
                  <c:v>70220.7692307692</c:v>
                </c:pt>
                <c:pt idx="6">
                  <c:v>89066.9230769231</c:v>
                </c:pt>
                <c:pt idx="7">
                  <c:v>107913.076923077</c:v>
                </c:pt>
                <c:pt idx="8">
                  <c:v>126759.230769231</c:v>
                </c:pt>
                <c:pt idx="9">
                  <c:v>145605.384615385</c:v>
                </c:pt>
                <c:pt idx="10">
                  <c:v>183297.692307692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73696"/>
        <c:axId val="533165072"/>
      </c:scatterChart>
      <c:valAx>
        <c:axId val="53317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65072"/>
        <c:crosses val="autoZero"/>
        <c:crossBetween val="midCat"/>
      </c:valAx>
      <c:valAx>
        <c:axId val="53316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7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'M25'!$D$7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'M25'!$C$8:$C$18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0.0416666666666667</c:v>
                </c:pt>
                <c:pt idx="3">
                  <c:v>0.0694444444444444</c:v>
                </c:pt>
                <c:pt idx="4">
                  <c:v>0.0972222222222222</c:v>
                </c:pt>
                <c:pt idx="5">
                  <c:v>0.152777777777778</c:v>
                </c:pt>
                <c:pt idx="6">
                  <c:v>0.208333333333333</c:v>
                </c:pt>
                <c:pt idx="7">
                  <c:v>0.305555555555556</c:v>
                </c:pt>
                <c:pt idx="8">
                  <c:v>0.333333333333333</c:v>
                </c:pt>
                <c:pt idx="9">
                  <c:v>0.388888888888889</c:v>
                </c:pt>
                <c:pt idx="10">
                  <c:v>0.444444444444444</c:v>
                </c:pt>
              </c:numCache>
            </c:numRef>
          </c:xVal>
          <c:yVal>
            <c:numRef>
              <c:f>'M25'!$D$8:$D$18</c:f>
              <c:numCache>
                <c:formatCode>General</c:formatCode>
                <c:ptCount val="11"/>
                <c:pt idx="0">
                  <c:v>0</c:v>
                </c:pt>
                <c:pt idx="1">
                  <c:v>6449.57264957265</c:v>
                </c:pt>
                <c:pt idx="2">
                  <c:v>48329.9145299145</c:v>
                </c:pt>
                <c:pt idx="3">
                  <c:v>90210.2564102564</c:v>
                </c:pt>
                <c:pt idx="4">
                  <c:v>132090.598290598</c:v>
                </c:pt>
                <c:pt idx="5">
                  <c:v>173970.94017094</c:v>
                </c:pt>
                <c:pt idx="6">
                  <c:v>215851.282051282</c:v>
                </c:pt>
                <c:pt idx="7">
                  <c:v>299611.965811966</c:v>
                </c:pt>
                <c:pt idx="8">
                  <c:v>320552.136752137</c:v>
                </c:pt>
                <c:pt idx="9">
                  <c:v>362432.478632479</c:v>
                </c:pt>
                <c:pt idx="10">
                  <c:v>404312.820512821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83704"/>
        <c:axId val="681883312"/>
      </c:scatterChart>
      <c:valAx>
        <c:axId val="68188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3312"/>
        <c:crosses val="autoZero"/>
        <c:crossBetween val="midCat"/>
      </c:valAx>
      <c:valAx>
        <c:axId val="68188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'M26'!$D$7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'M26'!$C$8:$C$18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0.0289855072463768</c:v>
                </c:pt>
                <c:pt idx="2">
                  <c:v>0.0434782608695652</c:v>
                </c:pt>
                <c:pt idx="3">
                  <c:v>0.072463768115942</c:v>
                </c:pt>
                <c:pt idx="4">
                  <c:v>0.115942028985507</c:v>
                </c:pt>
                <c:pt idx="5">
                  <c:v>0.144927536231884</c:v>
                </c:pt>
                <c:pt idx="6">
                  <c:v>0.173913043478261</c:v>
                </c:pt>
                <c:pt idx="7">
                  <c:v>0.188405797101449</c:v>
                </c:pt>
                <c:pt idx="8">
                  <c:v>0.231884057971014</c:v>
                </c:pt>
                <c:pt idx="9">
                  <c:v>0.260869565217391</c:v>
                </c:pt>
                <c:pt idx="10">
                  <c:v>0.318840579710145</c:v>
                </c:pt>
              </c:numCache>
            </c:numRef>
          </c:xVal>
          <c:yVal>
            <c:numRef>
              <c:f>'M26'!$D$8:$D$18</c:f>
              <c:numCache>
                <c:formatCode>General</c:formatCode>
                <c:ptCount val="11"/>
                <c:pt idx="0">
                  <c:v>0</c:v>
                </c:pt>
                <c:pt idx="1">
                  <c:v>31661.5384615385</c:v>
                </c:pt>
                <c:pt idx="2">
                  <c:v>61815.3846153846</c:v>
                </c:pt>
                <c:pt idx="3">
                  <c:v>91969.2307692308</c:v>
                </c:pt>
                <c:pt idx="4">
                  <c:v>122123.076923077</c:v>
                </c:pt>
                <c:pt idx="5">
                  <c:v>152276.923076923</c:v>
                </c:pt>
                <c:pt idx="6">
                  <c:v>182430.769230769</c:v>
                </c:pt>
                <c:pt idx="7">
                  <c:v>212584.615384615</c:v>
                </c:pt>
                <c:pt idx="8">
                  <c:v>242738.461538462</c:v>
                </c:pt>
                <c:pt idx="9">
                  <c:v>272892.307692308</c:v>
                </c:pt>
                <c:pt idx="10">
                  <c:v>333200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314328"/>
        <c:axId val="413315112"/>
      </c:scatterChart>
      <c:valAx>
        <c:axId val="41331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315112"/>
        <c:crosses val="autoZero"/>
        <c:crossBetween val="midCat"/>
      </c:valAx>
      <c:valAx>
        <c:axId val="41331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31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'M27'!$D$7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'M27'!$C$8:$C$18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0.00125786163522005</c:v>
                </c:pt>
                <c:pt idx="2">
                  <c:v>0.0138364779874213</c:v>
                </c:pt>
                <c:pt idx="3">
                  <c:v>0.0213836477987422</c:v>
                </c:pt>
                <c:pt idx="4">
                  <c:v>0.0364779874213837</c:v>
                </c:pt>
                <c:pt idx="5">
                  <c:v>0.050314465408805</c:v>
                </c:pt>
                <c:pt idx="6">
                  <c:v>0.10062893081761</c:v>
                </c:pt>
                <c:pt idx="7">
                  <c:v>0.110691823899371</c:v>
                </c:pt>
                <c:pt idx="8">
                  <c:v>0.142138364779874</c:v>
                </c:pt>
                <c:pt idx="9">
                  <c:v>0.157232704402516</c:v>
                </c:pt>
                <c:pt idx="10">
                  <c:v>0.172327044025157</c:v>
                </c:pt>
              </c:numCache>
            </c:numRef>
          </c:xVal>
          <c:yVal>
            <c:numRef>
              <c:f>'M27'!$D$8:$D$18</c:f>
              <c:numCache>
                <c:formatCode>General</c:formatCode>
                <c:ptCount val="11"/>
                <c:pt idx="0">
                  <c:v>0</c:v>
                </c:pt>
                <c:pt idx="1">
                  <c:v>1539.10256410256</c:v>
                </c:pt>
                <c:pt idx="2">
                  <c:v>17244.2307692308</c:v>
                </c:pt>
                <c:pt idx="3">
                  <c:v>32949.358974359</c:v>
                </c:pt>
                <c:pt idx="4">
                  <c:v>48654.4871794872</c:v>
                </c:pt>
                <c:pt idx="5">
                  <c:v>64359.6153846154</c:v>
                </c:pt>
                <c:pt idx="6">
                  <c:v>127180.128205128</c:v>
                </c:pt>
                <c:pt idx="7">
                  <c:v>142885.256410256</c:v>
                </c:pt>
                <c:pt idx="8">
                  <c:v>174295.512820513</c:v>
                </c:pt>
                <c:pt idx="9">
                  <c:v>190000.641025641</c:v>
                </c:pt>
                <c:pt idx="10">
                  <c:v>205705.769230769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82528"/>
        <c:axId val="681882920"/>
      </c:scatterChart>
      <c:valAx>
        <c:axId val="68188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2920"/>
        <c:crosses val="autoZero"/>
        <c:crossBetween val="midCat"/>
      </c:valAx>
      <c:valAx>
        <c:axId val="68188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0.0333333333333333</c:v>
                </c:pt>
                <c:pt idx="2">
                  <c:v>0.0866666666666667</c:v>
                </c:pt>
                <c:pt idx="3">
                  <c:v>0.153333333333333</c:v>
                </c:pt>
                <c:pt idx="4">
                  <c:v>0.209333333333333</c:v>
                </c:pt>
                <c:pt idx="5">
                  <c:v>0.301333333333333</c:v>
                </c:pt>
                <c:pt idx="6">
                  <c:v>0.466666666666667</c:v>
                </c:pt>
                <c:pt idx="7">
                  <c:v>0.526666666666667</c:v>
                </c:pt>
                <c:pt idx="8">
                  <c:v>0.62</c:v>
                </c:pt>
                <c:pt idx="9">
                  <c:v>0.665333333333333</c:v>
                </c:pt>
                <c:pt idx="10">
                  <c:v>0.7</c:v>
                </c:pt>
              </c:numCache>
            </c:numRef>
          </c:xVal>
          <c:yVal>
            <c:numRef>
              <c:f>'M28'!$D$8:$D$18</c:f>
              <c:numCache>
                <c:formatCode>General</c:formatCode>
                <c:ptCount val="11"/>
                <c:pt idx="0">
                  <c:v>0</c:v>
                </c:pt>
                <c:pt idx="1">
                  <c:v>5549.82078853047</c:v>
                </c:pt>
                <c:pt idx="2">
                  <c:v>23253.0465949821</c:v>
                </c:pt>
                <c:pt idx="3">
                  <c:v>40815.770609319</c:v>
                </c:pt>
                <c:pt idx="4">
                  <c:v>58378.4946236559</c:v>
                </c:pt>
                <c:pt idx="5">
                  <c:v>75941.2186379929</c:v>
                </c:pt>
                <c:pt idx="6">
                  <c:v>111066.666666667</c:v>
                </c:pt>
                <c:pt idx="7">
                  <c:v>128629.390681004</c:v>
                </c:pt>
                <c:pt idx="8">
                  <c:v>146192.114695341</c:v>
                </c:pt>
                <c:pt idx="9">
                  <c:v>151601.433691756</c:v>
                </c:pt>
                <c:pt idx="10">
                  <c:v>158907.52688172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21624"/>
        <c:axId val="199422016"/>
      </c:scatterChart>
      <c:valAx>
        <c:axId val="199421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22016"/>
        <c:crosses val="autoZero"/>
        <c:crossBetween val="midCat"/>
      </c:valAx>
      <c:valAx>
        <c:axId val="1994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21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'M29'!$D$7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'M29'!$C$8:$C$18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0.0269938650306749</c:v>
                </c:pt>
                <c:pt idx="3">
                  <c:v>0.049079754601227</c:v>
                </c:pt>
                <c:pt idx="4">
                  <c:v>0.0601226993865031</c:v>
                </c:pt>
                <c:pt idx="5">
                  <c:v>0.0736196319018405</c:v>
                </c:pt>
                <c:pt idx="6">
                  <c:v>0.104294478527607</c:v>
                </c:pt>
                <c:pt idx="7">
                  <c:v>0.130061349693251</c:v>
                </c:pt>
                <c:pt idx="8">
                  <c:v>0.155828220858896</c:v>
                </c:pt>
                <c:pt idx="9">
                  <c:v>0.166871165644172</c:v>
                </c:pt>
                <c:pt idx="10">
                  <c:v>0.176687116564417</c:v>
                </c:pt>
              </c:numCache>
            </c:numRef>
          </c:xVal>
          <c:yVal>
            <c:numRef>
              <c:f>'M29'!$D$8:$D$18</c:f>
              <c:numCache>
                <c:formatCode>General</c:formatCode>
                <c:ptCount val="11"/>
                <c:pt idx="0">
                  <c:v>0</c:v>
                </c:pt>
                <c:pt idx="1">
                  <c:v>1256.41025641026</c:v>
                </c:pt>
                <c:pt idx="2">
                  <c:v>51512.8205128205</c:v>
                </c:pt>
                <c:pt idx="3">
                  <c:v>101769.230769231</c:v>
                </c:pt>
                <c:pt idx="4">
                  <c:v>126897.435897436</c:v>
                </c:pt>
                <c:pt idx="5">
                  <c:v>152025.641025641</c:v>
                </c:pt>
                <c:pt idx="6">
                  <c:v>202282.051282051</c:v>
                </c:pt>
                <c:pt idx="7">
                  <c:v>252538.461538462</c:v>
                </c:pt>
                <c:pt idx="8">
                  <c:v>302794.871794872</c:v>
                </c:pt>
                <c:pt idx="9">
                  <c:v>327923.076923077</c:v>
                </c:pt>
                <c:pt idx="10">
                  <c:v>353051.282051282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311584"/>
        <c:axId val="413312368"/>
      </c:scatterChart>
      <c:valAx>
        <c:axId val="4133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312368"/>
        <c:crosses val="autoZero"/>
        <c:crossBetween val="midCat"/>
      </c:valAx>
      <c:valAx>
        <c:axId val="41331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71832895888014"/>
                  <c:y val="0.004212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'M30'!$C$8:$C$18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0.0566037735849057</c:v>
                </c:pt>
                <c:pt idx="2">
                  <c:v>0.0754716981132075</c:v>
                </c:pt>
                <c:pt idx="3">
                  <c:v>0.0943396226415094</c:v>
                </c:pt>
                <c:pt idx="4">
                  <c:v>0.132075471698113</c:v>
                </c:pt>
                <c:pt idx="5">
                  <c:v>0.132075471698113</c:v>
                </c:pt>
                <c:pt idx="6">
                  <c:v>0.150943396226415</c:v>
                </c:pt>
                <c:pt idx="7">
                  <c:v>0.169811320754717</c:v>
                </c:pt>
                <c:pt idx="8">
                  <c:v>0.207547169811321</c:v>
                </c:pt>
                <c:pt idx="9">
                  <c:v>0.207547169811321</c:v>
                </c:pt>
                <c:pt idx="10">
                  <c:v>0.226415094339623</c:v>
                </c:pt>
              </c:numCache>
            </c:numRef>
          </c:xVal>
          <c:yVal>
            <c:numRef>
              <c:f>'M30'!$D$8:$D$18</c:f>
              <c:numCache>
                <c:formatCode>General</c:formatCode>
                <c:ptCount val="11"/>
                <c:pt idx="0">
                  <c:v>0</c:v>
                </c:pt>
                <c:pt idx="1">
                  <c:v>51487.6923076923</c:v>
                </c:pt>
                <c:pt idx="2">
                  <c:v>101744.102564103</c:v>
                </c:pt>
                <c:pt idx="3">
                  <c:v>152000.512820513</c:v>
                </c:pt>
                <c:pt idx="4">
                  <c:v>177128.717948718</c:v>
                </c:pt>
                <c:pt idx="5">
                  <c:v>202256.923076923</c:v>
                </c:pt>
                <c:pt idx="6">
                  <c:v>227385.128205128</c:v>
                </c:pt>
                <c:pt idx="7">
                  <c:v>252513.333333333</c:v>
                </c:pt>
                <c:pt idx="8">
                  <c:v>277641.538461538</c:v>
                </c:pt>
                <c:pt idx="9">
                  <c:v>290205.641025641</c:v>
                </c:pt>
                <c:pt idx="10">
                  <c:v>302769.743589744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630088"/>
        <c:axId val="377644192"/>
      </c:scatterChart>
      <c:valAx>
        <c:axId val="68463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644192"/>
        <c:crosses val="autoZero"/>
        <c:crossBetween val="midCat"/>
      </c:valAx>
      <c:valAx>
        <c:axId val="3776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30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'M31'!$D$7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'M31'!$C$8:$C$18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0.0533333333333333</c:v>
                </c:pt>
                <c:pt idx="3">
                  <c:v>0.0933333333333333</c:v>
                </c:pt>
                <c:pt idx="4">
                  <c:v>0.106666666666667</c:v>
                </c:pt>
                <c:pt idx="5">
                  <c:v>0.133333333333333</c:v>
                </c:pt>
                <c:pt idx="6">
                  <c:v>0.173333333333333</c:v>
                </c:pt>
                <c:pt idx="7">
                  <c:v>0.2</c:v>
                </c:pt>
                <c:pt idx="8">
                  <c:v>0.226666666666667</c:v>
                </c:pt>
                <c:pt idx="9">
                  <c:v>0.246666666666667</c:v>
                </c:pt>
                <c:pt idx="10">
                  <c:v>0.28</c:v>
                </c:pt>
              </c:numCache>
            </c:numRef>
          </c:xVal>
          <c:yVal>
            <c:numRef>
              <c:f>'M31'!$D$8:$D$18</c:f>
              <c:numCache>
                <c:formatCode>General</c:formatCode>
                <c:ptCount val="11"/>
                <c:pt idx="0">
                  <c:v>0</c:v>
                </c:pt>
                <c:pt idx="1">
                  <c:v>1505.28</c:v>
                </c:pt>
                <c:pt idx="2">
                  <c:v>64225.28</c:v>
                </c:pt>
                <c:pt idx="3">
                  <c:v>126945.28</c:v>
                </c:pt>
                <c:pt idx="4">
                  <c:v>158305.28</c:v>
                </c:pt>
                <c:pt idx="5">
                  <c:v>189665.28</c:v>
                </c:pt>
                <c:pt idx="6">
                  <c:v>221025.28</c:v>
                </c:pt>
                <c:pt idx="7">
                  <c:v>252385.28</c:v>
                </c:pt>
                <c:pt idx="8">
                  <c:v>283745.28</c:v>
                </c:pt>
                <c:pt idx="9">
                  <c:v>315105.28</c:v>
                </c:pt>
                <c:pt idx="10">
                  <c:v>346465.28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84880"/>
        <c:axId val="681884488"/>
      </c:scatterChart>
      <c:valAx>
        <c:axId val="68188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4488"/>
        <c:crosses val="autoZero"/>
        <c:crossBetween val="midCat"/>
      </c:valAx>
      <c:valAx>
        <c:axId val="681884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'M32'!$D$7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0372445319335083"/>
                  <c:y val="-0.0170013123359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'M32'!$C$8:$C$18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0.0232258064516129</c:v>
                </c:pt>
                <c:pt idx="2">
                  <c:v>0.0387096774193548</c:v>
                </c:pt>
                <c:pt idx="3">
                  <c:v>0.0529032258064515</c:v>
                </c:pt>
                <c:pt idx="4">
                  <c:v>0.0683870967741935</c:v>
                </c:pt>
                <c:pt idx="5">
                  <c:v>0.0774193548387097</c:v>
                </c:pt>
                <c:pt idx="6">
                  <c:v>0.0993548387096775</c:v>
                </c:pt>
                <c:pt idx="7">
                  <c:v>0.109677419354839</c:v>
                </c:pt>
                <c:pt idx="8">
                  <c:v>0.123870967741935</c:v>
                </c:pt>
                <c:pt idx="9">
                  <c:v>0.134193548387097</c:v>
                </c:pt>
                <c:pt idx="10">
                  <c:v>0.153548387096774</c:v>
                </c:pt>
              </c:numCache>
            </c:numRef>
          </c:xVal>
          <c:yVal>
            <c:numRef>
              <c:f>'M32'!$D$8:$D$18</c:f>
              <c:numCache>
                <c:formatCode>General</c:formatCode>
                <c:ptCount val="11"/>
                <c:pt idx="0">
                  <c:v>0</c:v>
                </c:pt>
                <c:pt idx="1">
                  <c:v>1429.16666666667</c:v>
                </c:pt>
                <c:pt idx="2">
                  <c:v>16012.5</c:v>
                </c:pt>
                <c:pt idx="3">
                  <c:v>30595.8333333333</c:v>
                </c:pt>
                <c:pt idx="4">
                  <c:v>45179.1666666667</c:v>
                </c:pt>
                <c:pt idx="5">
                  <c:v>59762.5</c:v>
                </c:pt>
                <c:pt idx="6">
                  <c:v>88929.1666666667</c:v>
                </c:pt>
                <c:pt idx="7">
                  <c:v>100887.5</c:v>
                </c:pt>
                <c:pt idx="8">
                  <c:v>132679.166666667</c:v>
                </c:pt>
                <c:pt idx="9">
                  <c:v>147262.5</c:v>
                </c:pt>
                <c:pt idx="10">
                  <c:v>161845.833333333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632832"/>
        <c:axId val="684633224"/>
      </c:scatterChart>
      <c:valAx>
        <c:axId val="68463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33224"/>
        <c:crosses val="autoZero"/>
        <c:crossBetween val="midCat"/>
      </c:valAx>
      <c:valAx>
        <c:axId val="68463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63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'M33'!$D$7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'M33'!$C$8:$C$18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0.0422535211267606</c:v>
                </c:pt>
                <c:pt idx="2">
                  <c:v>0.0999999999999999</c:v>
                </c:pt>
                <c:pt idx="3">
                  <c:v>0.119718309859155</c:v>
                </c:pt>
                <c:pt idx="4">
                  <c:v>0.133802816901408</c:v>
                </c:pt>
                <c:pt idx="5">
                  <c:v>0.147887323943662</c:v>
                </c:pt>
                <c:pt idx="6">
                  <c:v>0.154929577464789</c:v>
                </c:pt>
                <c:pt idx="7">
                  <c:v>0.183098591549296</c:v>
                </c:pt>
                <c:pt idx="8">
                  <c:v>0.2</c:v>
                </c:pt>
                <c:pt idx="9">
                  <c:v>0.236619718309859</c:v>
                </c:pt>
                <c:pt idx="10">
                  <c:v>0.257746478873239</c:v>
                </c:pt>
              </c:numCache>
            </c:numRef>
          </c:xVal>
          <c:yVal>
            <c:numRef>
              <c:f>'M33'!$D$8:$D$18</c:f>
              <c:numCache>
                <c:formatCode>General</c:formatCode>
                <c:ptCount val="11"/>
                <c:pt idx="0">
                  <c:v>0</c:v>
                </c:pt>
                <c:pt idx="1">
                  <c:v>3811.11111111111</c:v>
                </c:pt>
                <c:pt idx="2">
                  <c:v>53306.0606060606</c:v>
                </c:pt>
                <c:pt idx="3">
                  <c:v>78053.5353535353</c:v>
                </c:pt>
                <c:pt idx="4">
                  <c:v>81617.1717171717</c:v>
                </c:pt>
                <c:pt idx="5">
                  <c:v>86789.393939394</c:v>
                </c:pt>
                <c:pt idx="6">
                  <c:v>99163.1313131313</c:v>
                </c:pt>
                <c:pt idx="7">
                  <c:v>123910.606060606</c:v>
                </c:pt>
                <c:pt idx="8">
                  <c:v>148658.080808081</c:v>
                </c:pt>
                <c:pt idx="9">
                  <c:v>173405.555555556</c:v>
                </c:pt>
                <c:pt idx="10">
                  <c:v>185779.292929293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88800"/>
        <c:axId val="681882136"/>
      </c:scatterChart>
      <c:valAx>
        <c:axId val="68188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2136"/>
        <c:crosses val="autoZero"/>
        <c:crossBetween val="midCat"/>
      </c:valAx>
      <c:valAx>
        <c:axId val="68188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'M34'!$D$7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'M34'!$C$8:$C$18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0.00857142857142849</c:v>
                </c:pt>
                <c:pt idx="2">
                  <c:v>0.0428571428571429</c:v>
                </c:pt>
                <c:pt idx="3">
                  <c:v>0.06</c:v>
                </c:pt>
                <c:pt idx="4">
                  <c:v>0.0857142857142857</c:v>
                </c:pt>
                <c:pt idx="5">
                  <c:v>0.111428571428571</c:v>
                </c:pt>
                <c:pt idx="6">
                  <c:v>0.137142857142857</c:v>
                </c:pt>
                <c:pt idx="7">
                  <c:v>0.177142857142857</c:v>
                </c:pt>
                <c:pt idx="8">
                  <c:v>0.2</c:v>
                </c:pt>
                <c:pt idx="9">
                  <c:v>0.222857142857143</c:v>
                </c:pt>
                <c:pt idx="10">
                  <c:v>0.237142857142857</c:v>
                </c:pt>
              </c:numCache>
            </c:numRef>
          </c:xVal>
          <c:yVal>
            <c:numRef>
              <c:f>'M34'!$D$8:$D$18</c:f>
              <c:numCache>
                <c:formatCode>General</c:formatCode>
                <c:ptCount val="11"/>
                <c:pt idx="0">
                  <c:v>0</c:v>
                </c:pt>
                <c:pt idx="1">
                  <c:v>1846.92307692308</c:v>
                </c:pt>
                <c:pt idx="2">
                  <c:v>20693.0769230769</c:v>
                </c:pt>
                <c:pt idx="3">
                  <c:v>39539.2307692308</c:v>
                </c:pt>
                <c:pt idx="4">
                  <c:v>58385.3846153846</c:v>
                </c:pt>
                <c:pt idx="5">
                  <c:v>77231.5384615385</c:v>
                </c:pt>
                <c:pt idx="6">
                  <c:v>114923.846153846</c:v>
                </c:pt>
                <c:pt idx="7">
                  <c:v>190308.461538462</c:v>
                </c:pt>
                <c:pt idx="8">
                  <c:v>209154.615384615</c:v>
                </c:pt>
                <c:pt idx="9">
                  <c:v>228000.769230769</c:v>
                </c:pt>
                <c:pt idx="10">
                  <c:v>265693.076923077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89192"/>
        <c:axId val="681886840"/>
      </c:scatterChart>
      <c:valAx>
        <c:axId val="68188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6840"/>
        <c:crosses val="autoZero"/>
        <c:crossBetween val="midCat"/>
      </c:valAx>
      <c:valAx>
        <c:axId val="68188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'M35'!$D$7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'M35'!$C$8:$C$17</c:f>
              <c:numCache>
                <c:formatCode>General</c:formatCode>
                <c:ptCount val="10"/>
                <c:pt idx="0">
                  <c:v>0</c:v>
                </c:pt>
                <c:pt idx="1">
                  <c:v>0.101612903225806</c:v>
                </c:pt>
                <c:pt idx="2">
                  <c:v>0.129032258064516</c:v>
                </c:pt>
                <c:pt idx="3">
                  <c:v>0.161290322580645</c:v>
                </c:pt>
                <c:pt idx="4">
                  <c:v>0.17741935483871</c:v>
                </c:pt>
                <c:pt idx="5">
                  <c:v>0.216129032258065</c:v>
                </c:pt>
                <c:pt idx="6">
                  <c:v>0.225806451612903</c:v>
                </c:pt>
                <c:pt idx="7">
                  <c:v>0.238709677419355</c:v>
                </c:pt>
                <c:pt idx="8">
                  <c:v>0.274193548387097</c:v>
                </c:pt>
                <c:pt idx="9">
                  <c:v>0.285483870967742</c:v>
                </c:pt>
              </c:numCache>
            </c:numRef>
          </c:xVal>
          <c:yVal>
            <c:numRef>
              <c:f>'M35'!$D$8:$D$17</c:f>
              <c:numCache>
                <c:formatCode>General</c:formatCode>
                <c:ptCount val="10"/>
                <c:pt idx="0">
                  <c:v>0</c:v>
                </c:pt>
                <c:pt idx="1">
                  <c:v>34381.9397993311</c:v>
                </c:pt>
                <c:pt idx="2">
                  <c:v>67157.8595317726</c:v>
                </c:pt>
                <c:pt idx="3">
                  <c:v>132709.698996656</c:v>
                </c:pt>
                <c:pt idx="4">
                  <c:v>165485.618729097</c:v>
                </c:pt>
                <c:pt idx="5">
                  <c:v>198261.538461538</c:v>
                </c:pt>
                <c:pt idx="6">
                  <c:v>214649.498327759</c:v>
                </c:pt>
                <c:pt idx="7">
                  <c:v>280201.337792642</c:v>
                </c:pt>
                <c:pt idx="8">
                  <c:v>312977.257525084</c:v>
                </c:pt>
                <c:pt idx="9">
                  <c:v>345753.177257525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645760"/>
        <c:axId val="377642232"/>
      </c:scatterChart>
      <c:valAx>
        <c:axId val="37764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642232"/>
        <c:crosses val="autoZero"/>
        <c:crossBetween val="midCat"/>
      </c:valAx>
      <c:valAx>
        <c:axId val="37764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64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'M36'!$D$7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'M36'!$C$8:$C$18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0.0431654676258993</c:v>
                </c:pt>
                <c:pt idx="2">
                  <c:v>0.0863309352517986</c:v>
                </c:pt>
                <c:pt idx="3">
                  <c:v>0.136690647482014</c:v>
                </c:pt>
                <c:pt idx="4">
                  <c:v>0.165467625899281</c:v>
                </c:pt>
                <c:pt idx="5">
                  <c:v>0.179856115107914</c:v>
                </c:pt>
                <c:pt idx="6">
                  <c:v>0.194244604316547</c:v>
                </c:pt>
                <c:pt idx="7">
                  <c:v>0.223021582733813</c:v>
                </c:pt>
                <c:pt idx="8">
                  <c:v>0.251798561151079</c:v>
                </c:pt>
                <c:pt idx="9">
                  <c:v>0.280575539568345</c:v>
                </c:pt>
                <c:pt idx="10">
                  <c:v>0.309352517985612</c:v>
                </c:pt>
              </c:numCache>
            </c:numRef>
          </c:xVal>
          <c:yVal>
            <c:numRef>
              <c:f>'M36'!$D$8:$D$18</c:f>
              <c:numCache>
                <c:formatCode>General</c:formatCode>
                <c:ptCount val="11"/>
                <c:pt idx="0">
                  <c:v>0</c:v>
                </c:pt>
                <c:pt idx="1">
                  <c:v>55917.96875</c:v>
                </c:pt>
                <c:pt idx="2">
                  <c:v>110605.46875</c:v>
                </c:pt>
                <c:pt idx="3">
                  <c:v>165292.96875</c:v>
                </c:pt>
                <c:pt idx="4">
                  <c:v>192636.71875</c:v>
                </c:pt>
                <c:pt idx="5">
                  <c:v>219980.46875</c:v>
                </c:pt>
                <c:pt idx="6">
                  <c:v>247324.21875</c:v>
                </c:pt>
                <c:pt idx="7">
                  <c:v>274667.96875</c:v>
                </c:pt>
                <c:pt idx="8">
                  <c:v>302011.71875</c:v>
                </c:pt>
                <c:pt idx="9">
                  <c:v>329355.46875</c:v>
                </c:pt>
                <c:pt idx="10">
                  <c:v>356699.21875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23584"/>
        <c:axId val="199420448"/>
      </c:scatterChart>
      <c:valAx>
        <c:axId val="19942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20448"/>
        <c:crosses val="autoZero"/>
        <c:crossBetween val="midCat"/>
      </c:valAx>
      <c:valAx>
        <c:axId val="1994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'M37'!$D$7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'M37'!$C$8:$C$18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0.00714285714285714</c:v>
                </c:pt>
                <c:pt idx="2">
                  <c:v>0.0200000000000001</c:v>
                </c:pt>
                <c:pt idx="3">
                  <c:v>0.0342857142857144</c:v>
                </c:pt>
                <c:pt idx="4">
                  <c:v>0.0714285714285714</c:v>
                </c:pt>
                <c:pt idx="5">
                  <c:v>0.0928571428571429</c:v>
                </c:pt>
                <c:pt idx="6">
                  <c:v>0.112857142857143</c:v>
                </c:pt>
                <c:pt idx="7">
                  <c:v>0.141428571428572</c:v>
                </c:pt>
                <c:pt idx="8">
                  <c:v>0.164285714285714</c:v>
                </c:pt>
                <c:pt idx="9">
                  <c:v>0.207142857142857</c:v>
                </c:pt>
                <c:pt idx="10">
                  <c:v>0.25</c:v>
                </c:pt>
              </c:numCache>
            </c:numRef>
          </c:xVal>
          <c:yVal>
            <c:numRef>
              <c:f>'M37'!$D$8:$D$18</c:f>
              <c:numCache>
                <c:formatCode>General</c:formatCode>
                <c:ptCount val="11"/>
                <c:pt idx="0">
                  <c:v>0</c:v>
                </c:pt>
                <c:pt idx="1">
                  <c:v>999.592003263974</c:v>
                </c:pt>
                <c:pt idx="2">
                  <c:v>10995.5120359037</c:v>
                </c:pt>
                <c:pt idx="3">
                  <c:v>20991.4320685435</c:v>
                </c:pt>
                <c:pt idx="4">
                  <c:v>60975.1121991024</c:v>
                </c:pt>
                <c:pt idx="5">
                  <c:v>80966.9522643819</c:v>
                </c:pt>
                <c:pt idx="6">
                  <c:v>120950.632394941</c:v>
                </c:pt>
                <c:pt idx="7">
                  <c:v>140942.47246022</c:v>
                </c:pt>
                <c:pt idx="8">
                  <c:v>160934.3125255</c:v>
                </c:pt>
                <c:pt idx="9">
                  <c:v>190922.072623419</c:v>
                </c:pt>
                <c:pt idx="10">
                  <c:v>210913.912688699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22408"/>
        <c:axId val="199423192"/>
      </c:scatterChart>
      <c:valAx>
        <c:axId val="19942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23192"/>
        <c:crosses val="autoZero"/>
        <c:crossBetween val="midCat"/>
      </c:valAx>
      <c:valAx>
        <c:axId val="19942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22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'M38'!$D$7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'M38'!$C$8:$C$18</c:f>
              <c:numCache>
                <c:formatCode>General</c:formatCode>
                <c:ptCount val="11"/>
                <c:pt idx="0">
                  <c:v>0</c:v>
                </c:pt>
                <c:pt idx="1">
                  <c:v>0.00135135135135127</c:v>
                </c:pt>
                <c:pt idx="2">
                  <c:v>0.00675675675675676</c:v>
                </c:pt>
                <c:pt idx="3">
                  <c:v>0.0135135135135135</c:v>
                </c:pt>
                <c:pt idx="4">
                  <c:v>0.0202702702702703</c:v>
                </c:pt>
                <c:pt idx="5">
                  <c:v>0.027027027027027</c:v>
                </c:pt>
                <c:pt idx="6">
                  <c:v>0.0472972972972973</c:v>
                </c:pt>
                <c:pt idx="7">
                  <c:v>0.0675675675675676</c:v>
                </c:pt>
                <c:pt idx="8">
                  <c:v>0.0878378378378378</c:v>
                </c:pt>
                <c:pt idx="9">
                  <c:v>0.114864864864865</c:v>
                </c:pt>
                <c:pt idx="10">
                  <c:v>0.135135135135135</c:v>
                </c:pt>
              </c:numCache>
            </c:numRef>
          </c:xVal>
          <c:yVal>
            <c:numRef>
              <c:f>'M38'!$D$8:$D$18</c:f>
              <c:numCache>
                <c:formatCode>General</c:formatCode>
                <c:ptCount val="11"/>
                <c:pt idx="0">
                  <c:v>0</c:v>
                </c:pt>
                <c:pt idx="1">
                  <c:v>1633.33333333333</c:v>
                </c:pt>
                <c:pt idx="2">
                  <c:v>17966.6666666667</c:v>
                </c:pt>
                <c:pt idx="3">
                  <c:v>34300</c:v>
                </c:pt>
                <c:pt idx="4">
                  <c:v>50633.3333333333</c:v>
                </c:pt>
                <c:pt idx="5">
                  <c:v>66966.6666666667</c:v>
                </c:pt>
                <c:pt idx="6">
                  <c:v>83300</c:v>
                </c:pt>
                <c:pt idx="7">
                  <c:v>99633.3333333333</c:v>
                </c:pt>
                <c:pt idx="8">
                  <c:v>106493.333333333</c:v>
                </c:pt>
                <c:pt idx="9">
                  <c:v>121520</c:v>
                </c:pt>
                <c:pt idx="10">
                  <c:v>128053.333333333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88408"/>
        <c:axId val="681889584"/>
      </c:scatterChart>
      <c:valAx>
        <c:axId val="68188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9584"/>
        <c:crosses val="autoZero"/>
        <c:crossBetween val="midCat"/>
      </c:valAx>
      <c:valAx>
        <c:axId val="68188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888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'M39'!$D$7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'M39'!$C$8:$C$18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0.0127388535031847</c:v>
                </c:pt>
                <c:pt idx="3">
                  <c:v>0.0203821656050955</c:v>
                </c:pt>
                <c:pt idx="4">
                  <c:v>0.0318471337579618</c:v>
                </c:pt>
                <c:pt idx="5">
                  <c:v>0.0458598726114649</c:v>
                </c:pt>
                <c:pt idx="6">
                  <c:v>0.0547770700636942</c:v>
                </c:pt>
                <c:pt idx="7">
                  <c:v>0.0598726114649682</c:v>
                </c:pt>
                <c:pt idx="8">
                  <c:v>0.0726114649681529</c:v>
                </c:pt>
                <c:pt idx="9">
                  <c:v>0.089171974522293</c:v>
                </c:pt>
                <c:pt idx="10">
                  <c:v>0.114649681528662</c:v>
                </c:pt>
              </c:numCache>
            </c:numRef>
          </c:xVal>
          <c:yVal>
            <c:numRef>
              <c:f>'M39'!$D$8:$D$18</c:f>
              <c:numCache>
                <c:formatCode>General</c:formatCode>
                <c:ptCount val="11"/>
                <c:pt idx="0">
                  <c:v>0</c:v>
                </c:pt>
                <c:pt idx="1">
                  <c:v>1185.67901234568</c:v>
                </c:pt>
                <c:pt idx="2">
                  <c:v>13284.4444444444</c:v>
                </c:pt>
                <c:pt idx="3">
                  <c:v>25383.2098765432</c:v>
                </c:pt>
                <c:pt idx="4">
                  <c:v>49580.7407407407</c:v>
                </c:pt>
                <c:pt idx="5">
                  <c:v>73778.2716049383</c:v>
                </c:pt>
                <c:pt idx="6">
                  <c:v>97975.8024691358</c:v>
                </c:pt>
                <c:pt idx="7">
                  <c:v>122173.333333333</c:v>
                </c:pt>
                <c:pt idx="8">
                  <c:v>170568.395061728</c:v>
                </c:pt>
                <c:pt idx="9">
                  <c:v>218963.456790123</c:v>
                </c:pt>
                <c:pt idx="10">
                  <c:v>267358.518518519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615696"/>
        <c:axId val="749614128"/>
      </c:scatterChart>
      <c:valAx>
        <c:axId val="74961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614128"/>
        <c:crosses val="autoZero"/>
        <c:crossBetween val="midCat"/>
      </c:valAx>
      <c:valAx>
        <c:axId val="74961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61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'M40'!$D$7</c:f>
              <c:strCache>
                <c:ptCount val="1"/>
                <c:pt idx="0">
                  <c:v>Stress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'M40'!$C$8:$C$18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0.0185185185185185</c:v>
                </c:pt>
                <c:pt idx="3">
                  <c:v>0.0271604938271605</c:v>
                </c:pt>
                <c:pt idx="4">
                  <c:v>0.037037037037037</c:v>
                </c:pt>
                <c:pt idx="5">
                  <c:v>0.0555555555555556</c:v>
                </c:pt>
                <c:pt idx="6">
                  <c:v>0.0790123456790124</c:v>
                </c:pt>
                <c:pt idx="7">
                  <c:v>0.0925925925925926</c:v>
                </c:pt>
                <c:pt idx="8">
                  <c:v>0.0987654320987654</c:v>
                </c:pt>
                <c:pt idx="9">
                  <c:v>0.109876543209877</c:v>
                </c:pt>
                <c:pt idx="10">
                  <c:v>0.133333333333333</c:v>
                </c:pt>
              </c:numCache>
            </c:numRef>
          </c:xVal>
          <c:yVal>
            <c:numRef>
              <c:f>'M40'!$D$8:$D$18</c:f>
              <c:numCache>
                <c:formatCode>General</c:formatCode>
                <c:ptCount val="11"/>
                <c:pt idx="0">
                  <c:v>0</c:v>
                </c:pt>
                <c:pt idx="1">
                  <c:v>841.346153846154</c:v>
                </c:pt>
                <c:pt idx="2">
                  <c:v>9254.80769230769</c:v>
                </c:pt>
                <c:pt idx="3">
                  <c:v>17668.2692307692</c:v>
                </c:pt>
                <c:pt idx="4">
                  <c:v>26081.7307692308</c:v>
                </c:pt>
                <c:pt idx="5">
                  <c:v>42908.6538461539</c:v>
                </c:pt>
                <c:pt idx="6">
                  <c:v>59735.5769230769</c:v>
                </c:pt>
                <c:pt idx="7">
                  <c:v>76562.5</c:v>
                </c:pt>
                <c:pt idx="8">
                  <c:v>84975.9615384615</c:v>
                </c:pt>
                <c:pt idx="9">
                  <c:v>93389.4230769231</c:v>
                </c:pt>
                <c:pt idx="10">
                  <c:v>110216.346153846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78792"/>
        <c:axId val="533176832"/>
      </c:scatterChart>
      <c:valAx>
        <c:axId val="53317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76832"/>
        <c:crosses val="autoZero"/>
        <c:crossBetween val="midCat"/>
      </c:valAx>
      <c:valAx>
        <c:axId val="53317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17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289560</xdr:colOff>
      <xdr:row>2</xdr:row>
      <xdr:rowOff>125730</xdr:rowOff>
    </xdr:from>
    <xdr:to>
      <xdr:col>11</xdr:col>
      <xdr:colOff>594360</xdr:colOff>
      <xdr:row>17</xdr:row>
      <xdr:rowOff>125730</xdr:rowOff>
    </xdr:to>
    <xdr:graphicFrame>
      <xdr:nvGraphicFramePr>
        <xdr:cNvPr id="2" name="Chart 1"/>
        <xdr:cNvGraphicFramePr/>
      </xdr:nvGraphicFramePr>
      <xdr:xfrm>
        <a:off x="6591300" y="49149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236220</xdr:colOff>
      <xdr:row>3</xdr:row>
      <xdr:rowOff>34290</xdr:rowOff>
    </xdr:from>
    <xdr:to>
      <xdr:col>11</xdr:col>
      <xdr:colOff>541020</xdr:colOff>
      <xdr:row>17</xdr:row>
      <xdr:rowOff>34290</xdr:rowOff>
    </xdr:to>
    <xdr:graphicFrame>
      <xdr:nvGraphicFramePr>
        <xdr:cNvPr id="2" name="Chart 1"/>
        <xdr:cNvGraphicFramePr/>
      </xdr:nvGraphicFramePr>
      <xdr:xfrm>
        <a:off x="6537960" y="575310"/>
        <a:ext cx="4625340" cy="24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396240</xdr:colOff>
      <xdr:row>2</xdr:row>
      <xdr:rowOff>87630</xdr:rowOff>
    </xdr:from>
    <xdr:to>
      <xdr:col>12</xdr:col>
      <xdr:colOff>91440</xdr:colOff>
      <xdr:row>17</xdr:row>
      <xdr:rowOff>87630</xdr:rowOff>
    </xdr:to>
    <xdr:graphicFrame>
      <xdr:nvGraphicFramePr>
        <xdr:cNvPr id="2" name="Chart 1"/>
        <xdr:cNvGraphicFramePr/>
      </xdr:nvGraphicFramePr>
      <xdr:xfrm>
        <a:off x="6697980" y="4533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274320</xdr:colOff>
      <xdr:row>1</xdr:row>
      <xdr:rowOff>72390</xdr:rowOff>
    </xdr:from>
    <xdr:to>
      <xdr:col>11</xdr:col>
      <xdr:colOff>579120</xdr:colOff>
      <xdr:row>16</xdr:row>
      <xdr:rowOff>72390</xdr:rowOff>
    </xdr:to>
    <xdr:graphicFrame>
      <xdr:nvGraphicFramePr>
        <xdr:cNvPr id="2" name="Chart 1"/>
        <xdr:cNvGraphicFramePr/>
      </xdr:nvGraphicFramePr>
      <xdr:xfrm>
        <a:off x="6576060" y="25527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327660</xdr:colOff>
      <xdr:row>1</xdr:row>
      <xdr:rowOff>102870</xdr:rowOff>
    </xdr:from>
    <xdr:to>
      <xdr:col>12</xdr:col>
      <xdr:colOff>22860</xdr:colOff>
      <xdr:row>16</xdr:row>
      <xdr:rowOff>102870</xdr:rowOff>
    </xdr:to>
    <xdr:graphicFrame>
      <xdr:nvGraphicFramePr>
        <xdr:cNvPr id="2" name="Chart 1"/>
        <xdr:cNvGraphicFramePr/>
      </xdr:nvGraphicFramePr>
      <xdr:xfrm>
        <a:off x="6629400" y="28575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472440</xdr:colOff>
      <xdr:row>4</xdr:row>
      <xdr:rowOff>11430</xdr:rowOff>
    </xdr:from>
    <xdr:to>
      <xdr:col>12</xdr:col>
      <xdr:colOff>167640</xdr:colOff>
      <xdr:row>18</xdr:row>
      <xdr:rowOff>11430</xdr:rowOff>
    </xdr:to>
    <xdr:graphicFrame>
      <xdr:nvGraphicFramePr>
        <xdr:cNvPr id="4" name="Chart 3"/>
        <xdr:cNvGraphicFramePr/>
      </xdr:nvGraphicFramePr>
      <xdr:xfrm>
        <a:off x="6774180" y="727710"/>
        <a:ext cx="4632960" cy="245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419100</xdr:colOff>
      <xdr:row>2</xdr:row>
      <xdr:rowOff>102870</xdr:rowOff>
    </xdr:from>
    <xdr:to>
      <xdr:col>12</xdr:col>
      <xdr:colOff>114300</xdr:colOff>
      <xdr:row>17</xdr:row>
      <xdr:rowOff>102870</xdr:rowOff>
    </xdr:to>
    <xdr:graphicFrame>
      <xdr:nvGraphicFramePr>
        <xdr:cNvPr id="2" name="Chart 1"/>
        <xdr:cNvGraphicFramePr/>
      </xdr:nvGraphicFramePr>
      <xdr:xfrm>
        <a:off x="6720840" y="4686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152400</xdr:colOff>
      <xdr:row>1</xdr:row>
      <xdr:rowOff>148590</xdr:rowOff>
    </xdr:from>
    <xdr:to>
      <xdr:col>11</xdr:col>
      <xdr:colOff>457200</xdr:colOff>
      <xdr:row>16</xdr:row>
      <xdr:rowOff>148590</xdr:rowOff>
    </xdr:to>
    <xdr:graphicFrame>
      <xdr:nvGraphicFramePr>
        <xdr:cNvPr id="2" name="Chart 1"/>
        <xdr:cNvGraphicFramePr/>
      </xdr:nvGraphicFramePr>
      <xdr:xfrm>
        <a:off x="6454140" y="33147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2</xdr:row>
      <xdr:rowOff>26670</xdr:rowOff>
    </xdr:from>
    <xdr:to>
      <xdr:col>12</xdr:col>
      <xdr:colOff>0</xdr:colOff>
      <xdr:row>17</xdr:row>
      <xdr:rowOff>26670</xdr:rowOff>
    </xdr:to>
    <xdr:graphicFrame>
      <xdr:nvGraphicFramePr>
        <xdr:cNvPr id="2" name="Chart 1"/>
        <xdr:cNvGraphicFramePr/>
      </xdr:nvGraphicFramePr>
      <xdr:xfrm>
        <a:off x="6606540" y="3924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213360</xdr:colOff>
      <xdr:row>1</xdr:row>
      <xdr:rowOff>41910</xdr:rowOff>
    </xdr:from>
    <xdr:to>
      <xdr:col>11</xdr:col>
      <xdr:colOff>518160</xdr:colOff>
      <xdr:row>16</xdr:row>
      <xdr:rowOff>41910</xdr:rowOff>
    </xdr:to>
    <xdr:graphicFrame>
      <xdr:nvGraphicFramePr>
        <xdr:cNvPr id="2" name="Chart 1"/>
        <xdr:cNvGraphicFramePr/>
      </xdr:nvGraphicFramePr>
      <xdr:xfrm>
        <a:off x="6515100" y="22479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281940</xdr:colOff>
      <xdr:row>1</xdr:row>
      <xdr:rowOff>133350</xdr:rowOff>
    </xdr:from>
    <xdr:to>
      <xdr:col>11</xdr:col>
      <xdr:colOff>586740</xdr:colOff>
      <xdr:row>16</xdr:row>
      <xdr:rowOff>133350</xdr:rowOff>
    </xdr:to>
    <xdr:graphicFrame>
      <xdr:nvGraphicFramePr>
        <xdr:cNvPr id="3" name="Chart 2"/>
        <xdr:cNvGraphicFramePr/>
      </xdr:nvGraphicFramePr>
      <xdr:xfrm>
        <a:off x="6583680" y="31623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289560</xdr:colOff>
      <xdr:row>1</xdr:row>
      <xdr:rowOff>95250</xdr:rowOff>
    </xdr:from>
    <xdr:to>
      <xdr:col>11</xdr:col>
      <xdr:colOff>594360</xdr:colOff>
      <xdr:row>20</xdr:row>
      <xdr:rowOff>60960</xdr:rowOff>
    </xdr:to>
    <xdr:graphicFrame>
      <xdr:nvGraphicFramePr>
        <xdr:cNvPr id="4" name="Chart 3"/>
        <xdr:cNvGraphicFramePr/>
      </xdr:nvGraphicFramePr>
      <xdr:xfrm>
        <a:off x="6591300" y="278130"/>
        <a:ext cx="4625340" cy="331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548640</xdr:colOff>
      <xdr:row>2</xdr:row>
      <xdr:rowOff>72390</xdr:rowOff>
    </xdr:from>
    <xdr:to>
      <xdr:col>12</xdr:col>
      <xdr:colOff>243840</xdr:colOff>
      <xdr:row>17</xdr:row>
      <xdr:rowOff>72390</xdr:rowOff>
    </xdr:to>
    <xdr:graphicFrame>
      <xdr:nvGraphicFramePr>
        <xdr:cNvPr id="3" name="Chart 2"/>
        <xdr:cNvGraphicFramePr/>
      </xdr:nvGraphicFramePr>
      <xdr:xfrm>
        <a:off x="6850380" y="43815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449580</xdr:colOff>
      <xdr:row>2</xdr:row>
      <xdr:rowOff>102870</xdr:rowOff>
    </xdr:from>
    <xdr:to>
      <xdr:col>12</xdr:col>
      <xdr:colOff>144780</xdr:colOff>
      <xdr:row>18</xdr:row>
      <xdr:rowOff>30480</xdr:rowOff>
    </xdr:to>
    <xdr:graphicFrame>
      <xdr:nvGraphicFramePr>
        <xdr:cNvPr id="2" name="Chart 1"/>
        <xdr:cNvGraphicFramePr/>
      </xdr:nvGraphicFramePr>
      <xdr:xfrm>
        <a:off x="6751320" y="468630"/>
        <a:ext cx="4632960" cy="2731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2</xdr:row>
      <xdr:rowOff>163830</xdr:rowOff>
    </xdr:from>
    <xdr:to>
      <xdr:col>11</xdr:col>
      <xdr:colOff>533400</xdr:colOff>
      <xdr:row>17</xdr:row>
      <xdr:rowOff>163830</xdr:rowOff>
    </xdr:to>
    <xdr:graphicFrame>
      <xdr:nvGraphicFramePr>
        <xdr:cNvPr id="3" name="Chart 2"/>
        <xdr:cNvGraphicFramePr/>
      </xdr:nvGraphicFramePr>
      <xdr:xfrm>
        <a:off x="6530340" y="52959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464820</xdr:colOff>
      <xdr:row>2</xdr:row>
      <xdr:rowOff>148590</xdr:rowOff>
    </xdr:from>
    <xdr:to>
      <xdr:col>10</xdr:col>
      <xdr:colOff>739140</xdr:colOff>
      <xdr:row>17</xdr:row>
      <xdr:rowOff>148590</xdr:rowOff>
    </xdr:to>
    <xdr:graphicFrame>
      <xdr:nvGraphicFramePr>
        <xdr:cNvPr id="2" name="Chart 1"/>
        <xdr:cNvGraphicFramePr/>
      </xdr:nvGraphicFramePr>
      <xdr:xfrm>
        <a:off x="6766560" y="514350"/>
        <a:ext cx="45948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480060</xdr:colOff>
      <xdr:row>3</xdr:row>
      <xdr:rowOff>3810</xdr:rowOff>
    </xdr:from>
    <xdr:to>
      <xdr:col>12</xdr:col>
      <xdr:colOff>175260</xdr:colOff>
      <xdr:row>18</xdr:row>
      <xdr:rowOff>3810</xdr:rowOff>
    </xdr:to>
    <xdr:graphicFrame>
      <xdr:nvGraphicFramePr>
        <xdr:cNvPr id="2" name="Chart 1"/>
        <xdr:cNvGraphicFramePr/>
      </xdr:nvGraphicFramePr>
      <xdr:xfrm>
        <a:off x="6781800" y="54483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365760</xdr:colOff>
      <xdr:row>2</xdr:row>
      <xdr:rowOff>49530</xdr:rowOff>
    </xdr:from>
    <xdr:to>
      <xdr:col>12</xdr:col>
      <xdr:colOff>60960</xdr:colOff>
      <xdr:row>17</xdr:row>
      <xdr:rowOff>49530</xdr:rowOff>
    </xdr:to>
    <xdr:graphicFrame>
      <xdr:nvGraphicFramePr>
        <xdr:cNvPr id="2" name="Chart 1"/>
        <xdr:cNvGraphicFramePr/>
      </xdr:nvGraphicFramePr>
      <xdr:xfrm>
        <a:off x="6667500" y="4152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457200</xdr:colOff>
      <xdr:row>1</xdr:row>
      <xdr:rowOff>163830</xdr:rowOff>
    </xdr:from>
    <xdr:to>
      <xdr:col>12</xdr:col>
      <xdr:colOff>152400</xdr:colOff>
      <xdr:row>16</xdr:row>
      <xdr:rowOff>163830</xdr:rowOff>
    </xdr:to>
    <xdr:graphicFrame>
      <xdr:nvGraphicFramePr>
        <xdr:cNvPr id="2" name="Chart 1"/>
        <xdr:cNvGraphicFramePr/>
      </xdr:nvGraphicFramePr>
      <xdr:xfrm>
        <a:off x="6758940" y="34671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304800</xdr:colOff>
      <xdr:row>1</xdr:row>
      <xdr:rowOff>87630</xdr:rowOff>
    </xdr:from>
    <xdr:to>
      <xdr:col>12</xdr:col>
      <xdr:colOff>0</xdr:colOff>
      <xdr:row>16</xdr:row>
      <xdr:rowOff>87630</xdr:rowOff>
    </xdr:to>
    <xdr:graphicFrame>
      <xdr:nvGraphicFramePr>
        <xdr:cNvPr id="2" name="Chart 1"/>
        <xdr:cNvGraphicFramePr/>
      </xdr:nvGraphicFramePr>
      <xdr:xfrm>
        <a:off x="6606540" y="27051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220980</xdr:colOff>
      <xdr:row>2</xdr:row>
      <xdr:rowOff>133350</xdr:rowOff>
    </xdr:from>
    <xdr:to>
      <xdr:col>11</xdr:col>
      <xdr:colOff>525780</xdr:colOff>
      <xdr:row>17</xdr:row>
      <xdr:rowOff>133350</xdr:rowOff>
    </xdr:to>
    <xdr:graphicFrame>
      <xdr:nvGraphicFramePr>
        <xdr:cNvPr id="2" name="Chart 1"/>
        <xdr:cNvGraphicFramePr/>
      </xdr:nvGraphicFramePr>
      <xdr:xfrm>
        <a:off x="6522720" y="49911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426720</xdr:colOff>
      <xdr:row>2</xdr:row>
      <xdr:rowOff>87630</xdr:rowOff>
    </xdr:from>
    <xdr:to>
      <xdr:col>12</xdr:col>
      <xdr:colOff>121920</xdr:colOff>
      <xdr:row>17</xdr:row>
      <xdr:rowOff>87630</xdr:rowOff>
    </xdr:to>
    <xdr:graphicFrame>
      <xdr:nvGraphicFramePr>
        <xdr:cNvPr id="2" name="Chart 1"/>
        <xdr:cNvGraphicFramePr/>
      </xdr:nvGraphicFramePr>
      <xdr:xfrm>
        <a:off x="6728460" y="4533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228600</xdr:colOff>
      <xdr:row>1</xdr:row>
      <xdr:rowOff>125730</xdr:rowOff>
    </xdr:from>
    <xdr:to>
      <xdr:col>11</xdr:col>
      <xdr:colOff>533400</xdr:colOff>
      <xdr:row>16</xdr:row>
      <xdr:rowOff>125730</xdr:rowOff>
    </xdr:to>
    <xdr:graphicFrame>
      <xdr:nvGraphicFramePr>
        <xdr:cNvPr id="2" name="Chart 1"/>
        <xdr:cNvGraphicFramePr/>
      </xdr:nvGraphicFramePr>
      <xdr:xfrm>
        <a:off x="6530340" y="30861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350520</xdr:colOff>
      <xdr:row>2</xdr:row>
      <xdr:rowOff>133350</xdr:rowOff>
    </xdr:from>
    <xdr:to>
      <xdr:col>12</xdr:col>
      <xdr:colOff>45720</xdr:colOff>
      <xdr:row>17</xdr:row>
      <xdr:rowOff>133350</xdr:rowOff>
    </xdr:to>
    <xdr:graphicFrame>
      <xdr:nvGraphicFramePr>
        <xdr:cNvPr id="2" name="Chart 1"/>
        <xdr:cNvGraphicFramePr/>
      </xdr:nvGraphicFramePr>
      <xdr:xfrm>
        <a:off x="6652260" y="49911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152400</xdr:colOff>
      <xdr:row>1</xdr:row>
      <xdr:rowOff>118110</xdr:rowOff>
    </xdr:from>
    <xdr:to>
      <xdr:col>11</xdr:col>
      <xdr:colOff>457200</xdr:colOff>
      <xdr:row>16</xdr:row>
      <xdr:rowOff>118110</xdr:rowOff>
    </xdr:to>
    <xdr:graphicFrame>
      <xdr:nvGraphicFramePr>
        <xdr:cNvPr id="2" name="Chart 1"/>
        <xdr:cNvGraphicFramePr/>
      </xdr:nvGraphicFramePr>
      <xdr:xfrm>
        <a:off x="6454140" y="30099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251460</xdr:colOff>
      <xdr:row>2</xdr:row>
      <xdr:rowOff>41910</xdr:rowOff>
    </xdr:from>
    <xdr:to>
      <xdr:col>11</xdr:col>
      <xdr:colOff>556260</xdr:colOff>
      <xdr:row>17</xdr:row>
      <xdr:rowOff>41910</xdr:rowOff>
    </xdr:to>
    <xdr:graphicFrame>
      <xdr:nvGraphicFramePr>
        <xdr:cNvPr id="2" name="Chart 1"/>
        <xdr:cNvGraphicFramePr/>
      </xdr:nvGraphicFramePr>
      <xdr:xfrm>
        <a:off x="6553200" y="4076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396240</xdr:colOff>
      <xdr:row>1</xdr:row>
      <xdr:rowOff>41910</xdr:rowOff>
    </xdr:from>
    <xdr:to>
      <xdr:col>12</xdr:col>
      <xdr:colOff>91440</xdr:colOff>
      <xdr:row>16</xdr:row>
      <xdr:rowOff>41910</xdr:rowOff>
    </xdr:to>
    <xdr:graphicFrame>
      <xdr:nvGraphicFramePr>
        <xdr:cNvPr id="2" name="Chart 1"/>
        <xdr:cNvGraphicFramePr/>
      </xdr:nvGraphicFramePr>
      <xdr:xfrm>
        <a:off x="6697980" y="22479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327660</xdr:colOff>
      <xdr:row>1</xdr:row>
      <xdr:rowOff>156210</xdr:rowOff>
    </xdr:from>
    <xdr:to>
      <xdr:col>12</xdr:col>
      <xdr:colOff>22860</xdr:colOff>
      <xdr:row>16</xdr:row>
      <xdr:rowOff>156210</xdr:rowOff>
    </xdr:to>
    <xdr:graphicFrame>
      <xdr:nvGraphicFramePr>
        <xdr:cNvPr id="2" name="Chart 1"/>
        <xdr:cNvGraphicFramePr/>
      </xdr:nvGraphicFramePr>
      <xdr:xfrm>
        <a:off x="6629400" y="33909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228600</xdr:colOff>
      <xdr:row>3</xdr:row>
      <xdr:rowOff>57150</xdr:rowOff>
    </xdr:from>
    <xdr:to>
      <xdr:col>12</xdr:col>
      <xdr:colOff>533400</xdr:colOff>
      <xdr:row>18</xdr:row>
      <xdr:rowOff>57150</xdr:rowOff>
    </xdr:to>
    <xdr:graphicFrame>
      <xdr:nvGraphicFramePr>
        <xdr:cNvPr id="2" name="Chart 1"/>
        <xdr:cNvGraphicFramePr/>
      </xdr:nvGraphicFramePr>
      <xdr:xfrm>
        <a:off x="7147560" y="5981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167640</xdr:colOff>
      <xdr:row>3</xdr:row>
      <xdr:rowOff>11430</xdr:rowOff>
    </xdr:from>
    <xdr:to>
      <xdr:col>11</xdr:col>
      <xdr:colOff>472440</xdr:colOff>
      <xdr:row>18</xdr:row>
      <xdr:rowOff>11430</xdr:rowOff>
    </xdr:to>
    <xdr:graphicFrame>
      <xdr:nvGraphicFramePr>
        <xdr:cNvPr id="2" name="Chart 1"/>
        <xdr:cNvGraphicFramePr/>
      </xdr:nvGraphicFramePr>
      <xdr:xfrm>
        <a:off x="6469380" y="55245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335280</xdr:colOff>
      <xdr:row>2</xdr:row>
      <xdr:rowOff>80010</xdr:rowOff>
    </xdr:from>
    <xdr:to>
      <xdr:col>12</xdr:col>
      <xdr:colOff>30480</xdr:colOff>
      <xdr:row>17</xdr:row>
      <xdr:rowOff>80010</xdr:rowOff>
    </xdr:to>
    <xdr:graphicFrame>
      <xdr:nvGraphicFramePr>
        <xdr:cNvPr id="2" name="Chart 1"/>
        <xdr:cNvGraphicFramePr/>
      </xdr:nvGraphicFramePr>
      <xdr:xfrm>
        <a:off x="6637020" y="44577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312420</xdr:colOff>
      <xdr:row>1</xdr:row>
      <xdr:rowOff>148590</xdr:rowOff>
    </xdr:from>
    <xdr:to>
      <xdr:col>12</xdr:col>
      <xdr:colOff>7620</xdr:colOff>
      <xdr:row>16</xdr:row>
      <xdr:rowOff>148590</xdr:rowOff>
    </xdr:to>
    <xdr:graphicFrame>
      <xdr:nvGraphicFramePr>
        <xdr:cNvPr id="2" name="Chart 1"/>
        <xdr:cNvGraphicFramePr/>
      </xdr:nvGraphicFramePr>
      <xdr:xfrm>
        <a:off x="6614160" y="33147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251460</xdr:colOff>
      <xdr:row>1</xdr:row>
      <xdr:rowOff>102870</xdr:rowOff>
    </xdr:from>
    <xdr:to>
      <xdr:col>11</xdr:col>
      <xdr:colOff>556260</xdr:colOff>
      <xdr:row>16</xdr:row>
      <xdr:rowOff>102870</xdr:rowOff>
    </xdr:to>
    <xdr:graphicFrame>
      <xdr:nvGraphicFramePr>
        <xdr:cNvPr id="2" name="Chart 1"/>
        <xdr:cNvGraphicFramePr/>
      </xdr:nvGraphicFramePr>
      <xdr:xfrm>
        <a:off x="6553200" y="28575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281940</xdr:colOff>
      <xdr:row>1</xdr:row>
      <xdr:rowOff>140970</xdr:rowOff>
    </xdr:from>
    <xdr:to>
      <xdr:col>11</xdr:col>
      <xdr:colOff>586740</xdr:colOff>
      <xdr:row>16</xdr:row>
      <xdr:rowOff>140970</xdr:rowOff>
    </xdr:to>
    <xdr:graphicFrame>
      <xdr:nvGraphicFramePr>
        <xdr:cNvPr id="2" name="Chart 1"/>
        <xdr:cNvGraphicFramePr/>
      </xdr:nvGraphicFramePr>
      <xdr:xfrm>
        <a:off x="6583680" y="32385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198120</xdr:colOff>
      <xdr:row>1</xdr:row>
      <xdr:rowOff>163830</xdr:rowOff>
    </xdr:from>
    <xdr:to>
      <xdr:col>11</xdr:col>
      <xdr:colOff>502920</xdr:colOff>
      <xdr:row>15</xdr:row>
      <xdr:rowOff>163830</xdr:rowOff>
    </xdr:to>
    <xdr:graphicFrame>
      <xdr:nvGraphicFramePr>
        <xdr:cNvPr id="2" name="Chart 1"/>
        <xdr:cNvGraphicFramePr/>
      </xdr:nvGraphicFramePr>
      <xdr:xfrm>
        <a:off x="6499860" y="346710"/>
        <a:ext cx="4625340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274320</xdr:colOff>
      <xdr:row>3</xdr:row>
      <xdr:rowOff>171450</xdr:rowOff>
    </xdr:from>
    <xdr:to>
      <xdr:col>11</xdr:col>
      <xdr:colOff>579120</xdr:colOff>
      <xdr:row>18</xdr:row>
      <xdr:rowOff>171450</xdr:rowOff>
    </xdr:to>
    <xdr:graphicFrame>
      <xdr:nvGraphicFramePr>
        <xdr:cNvPr id="2" name="Chart 1"/>
        <xdr:cNvGraphicFramePr/>
      </xdr:nvGraphicFramePr>
      <xdr:xfrm>
        <a:off x="6576060" y="7124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312420</xdr:colOff>
      <xdr:row>1</xdr:row>
      <xdr:rowOff>171450</xdr:rowOff>
    </xdr:from>
    <xdr:to>
      <xdr:col>12</xdr:col>
      <xdr:colOff>7620</xdr:colOff>
      <xdr:row>16</xdr:row>
      <xdr:rowOff>171450</xdr:rowOff>
    </xdr:to>
    <xdr:graphicFrame>
      <xdr:nvGraphicFramePr>
        <xdr:cNvPr id="2" name="Chart 1"/>
        <xdr:cNvGraphicFramePr/>
      </xdr:nvGraphicFramePr>
      <xdr:xfrm>
        <a:off x="6614160" y="354330"/>
        <a:ext cx="463296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563880</xdr:colOff>
      <xdr:row>2</xdr:row>
      <xdr:rowOff>49530</xdr:rowOff>
    </xdr:from>
    <xdr:to>
      <xdr:col>12</xdr:col>
      <xdr:colOff>259080</xdr:colOff>
      <xdr:row>17</xdr:row>
      <xdr:rowOff>49530</xdr:rowOff>
    </xdr:to>
    <xdr:graphicFrame>
      <xdr:nvGraphicFramePr>
        <xdr:cNvPr id="2" name="Chart 1"/>
        <xdr:cNvGraphicFramePr/>
      </xdr:nvGraphicFramePr>
      <xdr:xfrm>
        <a:off x="6865620" y="415290"/>
        <a:ext cx="463296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182880</xdr:colOff>
      <xdr:row>2</xdr:row>
      <xdr:rowOff>118110</xdr:rowOff>
    </xdr:from>
    <xdr:to>
      <xdr:col>11</xdr:col>
      <xdr:colOff>487680</xdr:colOff>
      <xdr:row>17</xdr:row>
      <xdr:rowOff>118110</xdr:rowOff>
    </xdr:to>
    <xdr:graphicFrame>
      <xdr:nvGraphicFramePr>
        <xdr:cNvPr id="3" name="Chart 2"/>
        <xdr:cNvGraphicFramePr/>
      </xdr:nvGraphicFramePr>
      <xdr:xfrm>
        <a:off x="6484620" y="483870"/>
        <a:ext cx="46253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297180</xdr:colOff>
      <xdr:row>1</xdr:row>
      <xdr:rowOff>140970</xdr:rowOff>
    </xdr:from>
    <xdr:to>
      <xdr:col>11</xdr:col>
      <xdr:colOff>601980</xdr:colOff>
      <xdr:row>16</xdr:row>
      <xdr:rowOff>140970</xdr:rowOff>
    </xdr:to>
    <xdr:graphicFrame>
      <xdr:nvGraphicFramePr>
        <xdr:cNvPr id="2" name="Chart 1"/>
        <xdr:cNvGraphicFramePr/>
      </xdr:nvGraphicFramePr>
      <xdr:xfrm>
        <a:off x="6598920" y="323850"/>
        <a:ext cx="4625340" cy="263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4"/>
  <sheetViews>
    <sheetView workbookViewId="0">
      <selection activeCell="B24" sqref="B2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1</v>
      </c>
    </row>
    <row r="2" ht="14.4" spans="1:2">
      <c r="A2" s="3" t="s">
        <v>2</v>
      </c>
      <c r="B2" s="4"/>
    </row>
    <row r="3" spans="1:3">
      <c r="A3" s="5" t="s">
        <v>3</v>
      </c>
      <c r="B3" s="19">
        <v>12.9</v>
      </c>
      <c r="C3" s="7" t="s">
        <v>4</v>
      </c>
    </row>
    <row r="4" spans="1:3">
      <c r="A4" s="8" t="s">
        <v>5</v>
      </c>
      <c r="B4" s="9">
        <v>2.1</v>
      </c>
      <c r="C4" s="10">
        <f>(B3/1000)*(B4/1000)</f>
        <v>2.709e-5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41">
        <v>66.9</v>
      </c>
      <c r="C8" s="10">
        <v>0</v>
      </c>
      <c r="D8" s="10">
        <v>0</v>
      </c>
    </row>
    <row r="9" spans="1:4">
      <c r="A9" s="10">
        <v>112.2</v>
      </c>
      <c r="B9" s="42">
        <v>70</v>
      </c>
      <c r="C9" s="10">
        <f>(B9-B8)/B8</f>
        <v>0.046337817638266</v>
      </c>
      <c r="D9" s="10">
        <f>(A9*9.8/1000)/(C4)</f>
        <v>40589.1472868217</v>
      </c>
    </row>
    <row r="10" spans="1:4">
      <c r="A10" s="10">
        <v>212.2</v>
      </c>
      <c r="B10" s="42">
        <v>71.5</v>
      </c>
      <c r="C10" s="10">
        <f>(B10-B8)/B8</f>
        <v>0.0687593423019431</v>
      </c>
      <c r="D10" s="10">
        <f>(A10*9.8/1000)/(C4)</f>
        <v>76764.8578811369</v>
      </c>
    </row>
    <row r="11" spans="1:4">
      <c r="A11" s="10">
        <v>312.2</v>
      </c>
      <c r="B11" s="42">
        <v>74.2</v>
      </c>
      <c r="C11" s="10">
        <f>(B11-B8)/B8</f>
        <v>0.109118086696562</v>
      </c>
      <c r="D11" s="10">
        <f>(A11*9.8/1000)/(C4)</f>
        <v>112940.568475452</v>
      </c>
    </row>
    <row r="12" spans="1:4">
      <c r="A12" s="10">
        <v>412.2</v>
      </c>
      <c r="B12" s="42">
        <v>75.6</v>
      </c>
      <c r="C12" s="10">
        <f>(B12-B8)/B8</f>
        <v>0.130044843049327</v>
      </c>
      <c r="D12" s="10">
        <f>(A12*9.8/1000)/(C4)</f>
        <v>149116.279069767</v>
      </c>
    </row>
    <row r="13" spans="1:4">
      <c r="A13" s="10">
        <v>512.2</v>
      </c>
      <c r="B13" s="42">
        <v>78</v>
      </c>
      <c r="C13" s="10">
        <f>(B13-B8)/B8</f>
        <v>0.165919282511211</v>
      </c>
      <c r="D13" s="10">
        <f>(A13*9.8/1000)/(C4)</f>
        <v>185291.989664083</v>
      </c>
    </row>
    <row r="14" spans="1:4">
      <c r="A14" s="10">
        <v>612.2</v>
      </c>
      <c r="B14" s="42">
        <v>80.1</v>
      </c>
      <c r="C14" s="10">
        <f>(B14-B8)/B8</f>
        <v>0.197309417040359</v>
      </c>
      <c r="D14" s="10">
        <f>(A14*9.8/1000)/(C4)</f>
        <v>221467.700258398</v>
      </c>
    </row>
    <row r="15" spans="1:4">
      <c r="A15" s="10">
        <v>712.2</v>
      </c>
      <c r="B15" s="42">
        <v>82.5</v>
      </c>
      <c r="C15" s="10">
        <f>(B15-B8)/B8</f>
        <v>0.233183856502242</v>
      </c>
      <c r="D15" s="10">
        <f>(A15*9.8/1000)/(C4)</f>
        <v>257643.410852713</v>
      </c>
    </row>
    <row r="16" spans="1:4">
      <c r="A16" s="10">
        <v>762.2</v>
      </c>
      <c r="B16" s="42">
        <v>83.5</v>
      </c>
      <c r="C16" s="10">
        <f>(B16-B8)/B8</f>
        <v>0.24813153961136</v>
      </c>
      <c r="D16" s="10">
        <f>(A16*9.8/1000)/(C4)</f>
        <v>275731.266149871</v>
      </c>
    </row>
    <row r="17" spans="1:4">
      <c r="A17" s="10">
        <v>812.2</v>
      </c>
      <c r="B17" s="42">
        <v>85</v>
      </c>
      <c r="C17" s="10">
        <f>(B17-B8)/B8</f>
        <v>0.270553064275037</v>
      </c>
      <c r="D17" s="10">
        <f>(A17*9.8/1000)/(C4)</f>
        <v>293819.121447028</v>
      </c>
    </row>
    <row r="18" spans="1:4">
      <c r="A18" s="10">
        <v>862.2</v>
      </c>
      <c r="B18" s="42">
        <v>85.8</v>
      </c>
      <c r="C18" s="10">
        <f>(B18-B8)/B8</f>
        <v>0.282511210762332</v>
      </c>
      <c r="D18" s="10">
        <f>(A18*9.8/1000)/(C4)</f>
        <v>311906.976744186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1116141.87949237</v>
      </c>
    </row>
    <row r="23" spans="2:3">
      <c r="B23">
        <f>STEYX(D8:D18,C8:C18)</f>
        <v>4987.97866328238</v>
      </c>
      <c r="C23">
        <v>1116000</v>
      </c>
    </row>
    <row r="24" spans="2:3">
      <c r="B24">
        <f>1.96*B23</f>
        <v>9776.43818003347</v>
      </c>
      <c r="C24">
        <v>10000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3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3" t="s">
        <v>17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49</v>
      </c>
      <c r="C8" s="10">
        <v>0</v>
      </c>
      <c r="D8" s="10">
        <v>0</v>
      </c>
    </row>
    <row r="9" spans="1:4">
      <c r="A9" s="29">
        <v>204.9</v>
      </c>
      <c r="B9" s="29">
        <v>52</v>
      </c>
      <c r="C9" s="10">
        <f>(B9-B8)/B8</f>
        <v>0.0612244897959184</v>
      </c>
      <c r="D9" s="10">
        <f>(A9*9.8/1000)/(C4)</f>
        <v>51487.6923076923</v>
      </c>
    </row>
    <row r="10" spans="1:4">
      <c r="A10" s="29">
        <v>404.9</v>
      </c>
      <c r="B10" s="29">
        <v>53</v>
      </c>
      <c r="C10" s="10">
        <f>(B10-B8)/B8</f>
        <v>0.0816326530612245</v>
      </c>
      <c r="D10" s="10">
        <f>(A10*9.8/1000)/(C4)</f>
        <v>101744.102564103</v>
      </c>
    </row>
    <row r="11" spans="1:4">
      <c r="A11" s="29">
        <v>504.9</v>
      </c>
      <c r="B11" s="29">
        <v>54</v>
      </c>
      <c r="C11" s="10">
        <f>(B11-B8)/B8</f>
        <v>0.102040816326531</v>
      </c>
      <c r="D11" s="10">
        <f>(A11*9.8/1000)/(C4)</f>
        <v>126872.307692308</v>
      </c>
    </row>
    <row r="12" spans="1:4">
      <c r="A12" s="29">
        <v>604.9</v>
      </c>
      <c r="B12" s="29">
        <v>55</v>
      </c>
      <c r="C12" s="10">
        <f>(B12-B8)/B8</f>
        <v>0.122448979591837</v>
      </c>
      <c r="D12" s="10">
        <f>(A12*9.8/1000)/(C4)</f>
        <v>152000.512820513</v>
      </c>
    </row>
    <row r="13" spans="1:4">
      <c r="A13" s="29">
        <v>704.9</v>
      </c>
      <c r="B13" s="29">
        <v>56</v>
      </c>
      <c r="C13" s="10">
        <f>(B13-B8)/B8</f>
        <v>0.142857142857143</v>
      </c>
      <c r="D13" s="10">
        <f>(A13*9.8/1000)/(C4)</f>
        <v>177128.717948718</v>
      </c>
    </row>
    <row r="14" spans="1:4">
      <c r="A14" s="29">
        <v>804.9</v>
      </c>
      <c r="B14" s="29">
        <v>57</v>
      </c>
      <c r="C14" s="10">
        <f>(B14-B8)/B8</f>
        <v>0.163265306122449</v>
      </c>
      <c r="D14" s="10">
        <f>(A14*9.8/1000)/(C4)</f>
        <v>202256.923076923</v>
      </c>
    </row>
    <row r="15" spans="1:4">
      <c r="A15" s="29">
        <v>904.9</v>
      </c>
      <c r="B15" s="29">
        <v>59</v>
      </c>
      <c r="C15" s="10">
        <f>(B15-B8)/B8</f>
        <v>0.204081632653061</v>
      </c>
      <c r="D15" s="10">
        <f>(A15*9.8/1000)/(C4)</f>
        <v>227385.128205128</v>
      </c>
    </row>
    <row r="16" spans="1:4">
      <c r="A16" s="29">
        <v>1004.9</v>
      </c>
      <c r="B16" s="29">
        <v>60</v>
      </c>
      <c r="C16" s="10">
        <f>(B16-B8)/B8</f>
        <v>0.224489795918367</v>
      </c>
      <c r="D16" s="10">
        <f>(A16*9.8/1000)/(C4)</f>
        <v>252513.333333333</v>
      </c>
    </row>
    <row r="17" spans="1:4">
      <c r="A17" s="33">
        <v>1054.9</v>
      </c>
      <c r="B17" s="33">
        <v>61</v>
      </c>
      <c r="C17" s="32">
        <f>(B17-B8)/B8</f>
        <v>0.244897959183673</v>
      </c>
      <c r="D17" s="32">
        <f>(A17*9.8/1000)/(C4)</f>
        <v>265077.435897436</v>
      </c>
    </row>
    <row r="19" spans="1:3">
      <c r="A19" s="7" t="s">
        <v>12</v>
      </c>
      <c r="B19" s="10" t="s">
        <v>13</v>
      </c>
      <c r="C19" s="7" t="s">
        <v>14</v>
      </c>
    </row>
    <row r="20" spans="1:3">
      <c r="A20" s="7" t="s">
        <v>15</v>
      </c>
      <c r="B20" s="10" t="s">
        <v>16</v>
      </c>
      <c r="C20" s="10">
        <f>SLOPE(D8:D17,C8:C17)</f>
        <v>1116433.35490055</v>
      </c>
    </row>
    <row r="22" spans="2:3">
      <c r="B22">
        <f>STEYX(D8:D17,C8:C17)</f>
        <v>12769.5271713987</v>
      </c>
      <c r="C22">
        <v>1120000</v>
      </c>
    </row>
    <row r="23" spans="2:3">
      <c r="B23">
        <f>1.96*B22</f>
        <v>25028.2732559414</v>
      </c>
      <c r="C23">
        <v>30000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4"/>
  <sheetViews>
    <sheetView workbookViewId="0">
      <selection activeCell="C16" sqref="C16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18</v>
      </c>
    </row>
    <row r="2" ht="14.4" spans="1:2">
      <c r="A2" s="3" t="s">
        <v>2</v>
      </c>
      <c r="B2" s="4"/>
    </row>
    <row r="3" spans="1:3">
      <c r="A3" s="5" t="s">
        <v>3</v>
      </c>
      <c r="B3" s="19">
        <v>12.6</v>
      </c>
      <c r="C3" s="7" t="s">
        <v>4</v>
      </c>
    </row>
    <row r="4" spans="1:3">
      <c r="A4" s="8" t="s">
        <v>5</v>
      </c>
      <c r="B4" s="9">
        <v>3.7</v>
      </c>
      <c r="C4" s="10">
        <f>(B3/1000)*(B4/1000)</f>
        <v>4.662e-5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68</v>
      </c>
      <c r="C8" s="10">
        <v>0</v>
      </c>
      <c r="D8" s="10">
        <v>0</v>
      </c>
    </row>
    <row r="9" spans="1:4">
      <c r="A9" s="10">
        <v>5</v>
      </c>
      <c r="B9" s="10">
        <v>69</v>
      </c>
      <c r="C9" s="10">
        <f>(B9-B8)/B8</f>
        <v>0.0147058823529412</v>
      </c>
      <c r="D9" s="10">
        <f>(A9*9.8/1000)/(C4)</f>
        <v>1051.05105105105</v>
      </c>
    </row>
    <row r="10" spans="1:4">
      <c r="A10" s="10">
        <v>105</v>
      </c>
      <c r="B10" s="22">
        <v>71.5</v>
      </c>
      <c r="C10" s="10">
        <f>(B10-B8)/B8</f>
        <v>0.0514705882352941</v>
      </c>
      <c r="D10" s="10">
        <f>(A10*9.8/1000)/(C4)</f>
        <v>22072.0720720721</v>
      </c>
    </row>
    <row r="11" spans="1:4">
      <c r="A11" s="10">
        <v>205</v>
      </c>
      <c r="B11" s="22">
        <v>72</v>
      </c>
      <c r="C11" s="10">
        <f>(B11-B8)/B8</f>
        <v>0.0588235294117647</v>
      </c>
      <c r="D11" s="10">
        <f>(A11*9.8/1000)/(C4)</f>
        <v>43093.0930930931</v>
      </c>
    </row>
    <row r="12" spans="1:4">
      <c r="A12" s="10">
        <v>405</v>
      </c>
      <c r="B12" s="10">
        <v>74</v>
      </c>
      <c r="C12" s="10">
        <f>(B12-B8)/B8</f>
        <v>0.0882352941176471</v>
      </c>
      <c r="D12" s="10">
        <f>(A12*9.8/1000)/(C4)</f>
        <v>85135.1351351351</v>
      </c>
    </row>
    <row r="13" spans="1:4">
      <c r="A13" s="10">
        <v>505</v>
      </c>
      <c r="B13" s="10">
        <v>76.5</v>
      </c>
      <c r="C13" s="10">
        <f>(B13-B8)/B8</f>
        <v>0.125</v>
      </c>
      <c r="D13" s="10">
        <f>(A13*9.8/1000)/(C4)</f>
        <v>106156.156156156</v>
      </c>
    </row>
    <row r="14" spans="1:4">
      <c r="A14" s="10">
        <v>705</v>
      </c>
      <c r="B14" s="10">
        <v>78.5</v>
      </c>
      <c r="C14" s="10">
        <f>(B14-B8)/B8</f>
        <v>0.154411764705882</v>
      </c>
      <c r="D14" s="10">
        <f>(A14*9.8/1000)/(C4)</f>
        <v>148198.198198198</v>
      </c>
    </row>
    <row r="15" spans="1:4">
      <c r="A15" s="10">
        <v>805</v>
      </c>
      <c r="B15" s="10">
        <v>80</v>
      </c>
      <c r="C15" s="10">
        <f>(B15-B8)/B8</f>
        <v>0.176470588235294</v>
      </c>
      <c r="D15" s="10">
        <f>(A15*9.8/1000)/(C4)</f>
        <v>169219.219219219</v>
      </c>
    </row>
    <row r="16" spans="1:4">
      <c r="A16" s="10">
        <v>905</v>
      </c>
      <c r="B16" s="10">
        <v>82.3</v>
      </c>
      <c r="C16" s="10">
        <f>(B16-B8)/B8</f>
        <v>0.210294117647059</v>
      </c>
      <c r="D16" s="10">
        <f>(A16*9.8/1000)/(C4)</f>
        <v>190240.24024024</v>
      </c>
    </row>
    <row r="17" spans="1:4">
      <c r="A17" s="10">
        <v>955</v>
      </c>
      <c r="B17" s="10">
        <v>83</v>
      </c>
      <c r="C17" s="10">
        <f>(B17-B8)/B8</f>
        <v>0.220588235294118</v>
      </c>
      <c r="D17" s="10">
        <f>(A17*9.8/1000)/(C4)</f>
        <v>200750.750750751</v>
      </c>
    </row>
    <row r="18" spans="1:4">
      <c r="A18" s="10">
        <v>1155</v>
      </c>
      <c r="B18" s="10">
        <v>86</v>
      </c>
      <c r="C18" s="10">
        <f>(B18-B8)/B8</f>
        <v>0.264705882352941</v>
      </c>
      <c r="D18" s="10">
        <f>(A18*9.8/1000)/(C4)</f>
        <v>242792.792792793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967491.833245258</v>
      </c>
    </row>
    <row r="23" spans="2:3">
      <c r="B23">
        <f>STEYX(D8:D18,C8:C18)</f>
        <v>9035.96790381778</v>
      </c>
      <c r="C23">
        <v>970000</v>
      </c>
    </row>
    <row r="24" spans="2:3">
      <c r="B24">
        <f>1.96*B23</f>
        <v>17710.4970914828</v>
      </c>
      <c r="C24">
        <v>20000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21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2.4</v>
      </c>
      <c r="C4" s="10">
        <f>(B3/1000)*(B4/1000)</f>
        <v>3.12e-5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66</v>
      </c>
      <c r="C8" s="22">
        <v>0</v>
      </c>
      <c r="D8" s="22">
        <v>0</v>
      </c>
    </row>
    <row r="9" spans="1:4">
      <c r="A9" s="10">
        <v>21</v>
      </c>
      <c r="B9" s="10">
        <v>66</v>
      </c>
      <c r="C9" s="22">
        <f>(B9-B8)/B8</f>
        <v>0</v>
      </c>
      <c r="D9" s="22">
        <f>(A9*9.8/1000)/(C4)</f>
        <v>6596.15384615385</v>
      </c>
    </row>
    <row r="10" spans="1:4">
      <c r="A10" s="10">
        <v>121</v>
      </c>
      <c r="B10" s="10">
        <v>67.2</v>
      </c>
      <c r="C10" s="10">
        <f>(B10-B8)/B8</f>
        <v>0.0181818181818182</v>
      </c>
      <c r="D10" s="10">
        <f>(A10*9.8/1000)/(C4)</f>
        <v>38006.4102564103</v>
      </c>
    </row>
    <row r="11" spans="1:4">
      <c r="A11" s="10">
        <v>221</v>
      </c>
      <c r="B11" s="10">
        <v>68.5</v>
      </c>
      <c r="C11" s="10">
        <f>(B11-B8)/B8</f>
        <v>0.0378787878787879</v>
      </c>
      <c r="D11" s="10">
        <f>(A11*9.8/1000)/(C4)</f>
        <v>69416.6666666667</v>
      </c>
    </row>
    <row r="12" spans="1:4">
      <c r="A12" s="10">
        <v>321</v>
      </c>
      <c r="B12" s="10">
        <v>69.5</v>
      </c>
      <c r="C12" s="10">
        <f>(B12-B8)/B8</f>
        <v>0.053030303030303</v>
      </c>
      <c r="D12" s="10">
        <f>(A12*9.8/1000)/(C4)</f>
        <v>100826.923076923</v>
      </c>
    </row>
    <row r="13" spans="1:4">
      <c r="A13" s="10">
        <v>421</v>
      </c>
      <c r="B13" s="10">
        <v>70</v>
      </c>
      <c r="C13" s="10">
        <f>(B13-B8)/B8</f>
        <v>0.0606060606060606</v>
      </c>
      <c r="D13" s="10">
        <f>(A13*9.8/1000)/(C4)</f>
        <v>132237.17948718</v>
      </c>
    </row>
    <row r="14" spans="1:4">
      <c r="A14" s="10">
        <v>521</v>
      </c>
      <c r="B14" s="10">
        <v>71</v>
      </c>
      <c r="C14" s="10">
        <f>(B14-B8)/B8</f>
        <v>0.0757575757575758</v>
      </c>
      <c r="D14" s="10">
        <f>(A14*9.8/1000)/(C4)</f>
        <v>163647.435897436</v>
      </c>
    </row>
    <row r="15" spans="1:4">
      <c r="A15" s="10">
        <v>571</v>
      </c>
      <c r="B15" s="10">
        <v>71.5</v>
      </c>
      <c r="C15" s="10">
        <f>(B15-B8)/B8</f>
        <v>0.0833333333333333</v>
      </c>
      <c r="D15" s="10">
        <f>(A15*9.8/1000)/(C4)</f>
        <v>179352.564102564</v>
      </c>
    </row>
    <row r="16" spans="1:4">
      <c r="A16" s="10">
        <v>621</v>
      </c>
      <c r="B16" s="10">
        <v>72</v>
      </c>
      <c r="C16" s="10">
        <f>(B16-B8)/B8</f>
        <v>0.0909090909090909</v>
      </c>
      <c r="D16" s="10">
        <f>(A16*9.8/1000)/(C4)</f>
        <v>195057.692307692</v>
      </c>
    </row>
    <row r="17" spans="1:4">
      <c r="A17" s="10">
        <v>671</v>
      </c>
      <c r="B17" s="10">
        <v>72.4</v>
      </c>
      <c r="C17" s="10">
        <f>(B17-B8)/B8</f>
        <v>0.0969696969696971</v>
      </c>
      <c r="D17" s="10">
        <f>(A17*9.8/1000)/(C4)</f>
        <v>210762.820512821</v>
      </c>
    </row>
    <row r="18" spans="1:4">
      <c r="A18" s="10">
        <v>721</v>
      </c>
      <c r="B18" s="10">
        <v>73</v>
      </c>
      <c r="C18" s="10">
        <f>(B18-B8)/B8</f>
        <v>0.106060606060606</v>
      </c>
      <c r="D18" s="10">
        <f>(A18*9.8/1000)/(C4)</f>
        <v>226467.948717949</v>
      </c>
    </row>
    <row r="20" spans="1:3">
      <c r="A20" s="7" t="s">
        <v>12</v>
      </c>
      <c r="B20" s="10" t="s">
        <v>22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2147888.96501817</v>
      </c>
    </row>
    <row r="23" spans="2:3">
      <c r="B23">
        <f>STEYX(D8:D18,C8:C18)</f>
        <v>6240.76252313086</v>
      </c>
      <c r="C23">
        <v>2150000</v>
      </c>
    </row>
    <row r="24" spans="2:3">
      <c r="B24">
        <f>1.96*B23</f>
        <v>12231.8945453365</v>
      </c>
      <c r="C24">
        <v>10000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23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72</v>
      </c>
      <c r="C8" s="22">
        <v>0</v>
      </c>
      <c r="D8" s="22">
        <v>0</v>
      </c>
    </row>
    <row r="9" spans="1:4">
      <c r="A9" s="10">
        <v>15.4</v>
      </c>
      <c r="B9" s="10">
        <v>72</v>
      </c>
      <c r="C9" s="22">
        <f>(B9-B8)/B8</f>
        <v>0</v>
      </c>
      <c r="D9" s="22">
        <f>(A9*9.8/1000)/(C4)</f>
        <v>5804.61538461539</v>
      </c>
    </row>
    <row r="10" spans="1:4">
      <c r="A10" s="10">
        <v>115.4</v>
      </c>
      <c r="B10" s="10">
        <v>76</v>
      </c>
      <c r="C10" s="10">
        <f>(B10-B8)/B8</f>
        <v>0.0555555555555556</v>
      </c>
      <c r="D10" s="10">
        <f>(A10*9.8/1000)/(C4)</f>
        <v>43496.9230769231</v>
      </c>
    </row>
    <row r="11" spans="1:4">
      <c r="A11" s="10">
        <v>215.4</v>
      </c>
      <c r="B11" s="10">
        <v>78</v>
      </c>
      <c r="C11" s="10">
        <f>(B11-B8)/B8</f>
        <v>0.0833333333333333</v>
      </c>
      <c r="D11" s="10">
        <f>(A11*9.8/1000)/(C4)</f>
        <v>81189.2307692308</v>
      </c>
    </row>
    <row r="12" spans="1:4">
      <c r="A12" s="10">
        <v>315.4</v>
      </c>
      <c r="B12" s="10">
        <v>81</v>
      </c>
      <c r="C12" s="10">
        <f>(B12-B8)/B8</f>
        <v>0.125</v>
      </c>
      <c r="D12" s="10">
        <f>(A12*9.8/1000)/(C4)</f>
        <v>118881.538461538</v>
      </c>
    </row>
    <row r="13" spans="1:4">
      <c r="A13" s="10">
        <v>415.4</v>
      </c>
      <c r="B13" s="10">
        <v>86</v>
      </c>
      <c r="C13" s="10">
        <f>(B13-B8)/B8</f>
        <v>0.194444444444444</v>
      </c>
      <c r="D13" s="10">
        <f>(A13*9.8/1000)/(C4)</f>
        <v>156573.846153846</v>
      </c>
    </row>
    <row r="14" spans="1:4">
      <c r="A14" s="10">
        <v>515.4</v>
      </c>
      <c r="B14" s="10">
        <v>91</v>
      </c>
      <c r="C14" s="10">
        <f>(B14-B8)/B8</f>
        <v>0.263888888888889</v>
      </c>
      <c r="D14" s="10">
        <f>(A14*9.8/1000)/(C4)</f>
        <v>194266.153846154</v>
      </c>
    </row>
    <row r="15" spans="1:4">
      <c r="A15" s="10">
        <v>615.4</v>
      </c>
      <c r="B15" s="10">
        <v>96</v>
      </c>
      <c r="C15" s="10">
        <f>(B15-B8)/B8</f>
        <v>0.333333333333333</v>
      </c>
      <c r="D15" s="10">
        <f>(A15*9.8/1000)/(C4)</f>
        <v>231958.461538462</v>
      </c>
    </row>
    <row r="16" spans="1:4">
      <c r="A16" s="10">
        <v>715.4</v>
      </c>
      <c r="B16" s="10">
        <v>99</v>
      </c>
      <c r="C16" s="10">
        <f>(B16-B8)/B8</f>
        <v>0.375</v>
      </c>
      <c r="D16" s="10">
        <f>(A16*9.8/1000)/(C4)</f>
        <v>269650.769230769</v>
      </c>
    </row>
    <row r="17" spans="1:4">
      <c r="A17" s="10">
        <v>815.4</v>
      </c>
      <c r="B17" s="10">
        <v>102</v>
      </c>
      <c r="C17" s="10">
        <f>(B17-B8)/B8</f>
        <v>0.416666666666667</v>
      </c>
      <c r="D17" s="10">
        <f>(A17*9.8/1000)/(C4)</f>
        <v>307343.076923077</v>
      </c>
    </row>
    <row r="18" spans="1:4">
      <c r="A18" s="10">
        <v>1015.4</v>
      </c>
      <c r="B18" s="10">
        <v>112</v>
      </c>
      <c r="C18" s="10">
        <f>(B18-B8)/B8</f>
        <v>0.555555555555556</v>
      </c>
      <c r="D18" s="10">
        <f>(A18*9.8/1000)/(C4)</f>
        <v>382727.692307692</v>
      </c>
    </row>
    <row r="20" spans="1:3">
      <c r="A20" s="7" t="s">
        <v>12</v>
      </c>
      <c r="B20" s="10" t="s">
        <v>22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682166.308354486</v>
      </c>
    </row>
    <row r="23" spans="2:3">
      <c r="B23">
        <f>STEYX(D8:D18,C8:C18)</f>
        <v>11551.143996911</v>
      </c>
      <c r="C23">
        <v>680000</v>
      </c>
    </row>
    <row r="24" spans="2:3">
      <c r="B24">
        <f>1.96*B23</f>
        <v>22640.2422339456</v>
      </c>
      <c r="C24">
        <v>20000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24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9">
        <v>0</v>
      </c>
      <c r="B8" s="39">
        <v>67.4</v>
      </c>
      <c r="C8" s="29">
        <v>0</v>
      </c>
      <c r="D8" s="10">
        <v>0</v>
      </c>
    </row>
    <row r="9" spans="1:4">
      <c r="A9" s="39">
        <v>15.5</v>
      </c>
      <c r="B9" s="39">
        <v>67.8</v>
      </c>
      <c r="C9" s="29">
        <f>(B9-B8)/B8</f>
        <v>0.00593471810089008</v>
      </c>
      <c r="D9" s="10">
        <f>(A9*9.8/1000)/(C4)</f>
        <v>3894.87179487179</v>
      </c>
    </row>
    <row r="10" spans="1:4">
      <c r="A10" s="39">
        <v>215.5</v>
      </c>
      <c r="B10" s="39">
        <v>71.5</v>
      </c>
      <c r="C10" s="10">
        <f>(B10-B8)/B8</f>
        <v>0.0608308605341245</v>
      </c>
      <c r="D10" s="10">
        <f>(A10*9.8/1000)/(C4)</f>
        <v>54151.282051282</v>
      </c>
    </row>
    <row r="11" spans="1:4">
      <c r="A11" s="39">
        <v>315.5</v>
      </c>
      <c r="B11" s="39">
        <v>72</v>
      </c>
      <c r="C11" s="10">
        <f>(B11-B8)/B8</f>
        <v>0.0682492581602373</v>
      </c>
      <c r="D11" s="10">
        <f>(A11*9.8/1000)/(C4)</f>
        <v>79279.4871794872</v>
      </c>
    </row>
    <row r="12" spans="1:4">
      <c r="A12" s="39">
        <v>515.5</v>
      </c>
      <c r="B12" s="39">
        <v>75.6</v>
      </c>
      <c r="C12" s="10">
        <f>(B12-B8)/B8</f>
        <v>0.121661721068249</v>
      </c>
      <c r="D12" s="10">
        <f>(A12*9.8/1000)/(C4)</f>
        <v>129535.897435897</v>
      </c>
    </row>
    <row r="13" spans="1:4">
      <c r="A13" s="39">
        <v>615.5</v>
      </c>
      <c r="B13" s="39">
        <v>76.9</v>
      </c>
      <c r="C13" s="10">
        <f>(B13-B8)/B8</f>
        <v>0.140949554896142</v>
      </c>
      <c r="D13" s="10">
        <f>(A13*9.8/1000)/(C4)</f>
        <v>154664.102564103</v>
      </c>
    </row>
    <row r="14" spans="1:4">
      <c r="A14" s="39">
        <v>715.5</v>
      </c>
      <c r="B14" s="39">
        <v>78.8</v>
      </c>
      <c r="C14" s="10">
        <f>(B14-B8)/B8</f>
        <v>0.169139465875371</v>
      </c>
      <c r="D14" s="10">
        <f>(A14*9.8/1000)/(C4)</f>
        <v>179792.307692308</v>
      </c>
    </row>
    <row r="15" spans="1:4">
      <c r="A15" s="39">
        <v>815.5</v>
      </c>
      <c r="B15" s="39">
        <v>79.6</v>
      </c>
      <c r="C15" s="10">
        <f>(B15-B8)/B8</f>
        <v>0.181008902077151</v>
      </c>
      <c r="D15" s="10">
        <f>(A15*9.8/1000)/(C4)</f>
        <v>204920.512820513</v>
      </c>
    </row>
    <row r="16" spans="1:4">
      <c r="A16" s="39">
        <v>915.5</v>
      </c>
      <c r="B16" s="39">
        <v>80.7</v>
      </c>
      <c r="C16" s="10">
        <f>(B16-B8)/B8</f>
        <v>0.197329376854599</v>
      </c>
      <c r="D16" s="10">
        <f>(A16*9.8/1000)/(C4)</f>
        <v>230048.717948718</v>
      </c>
    </row>
    <row r="17" spans="1:4">
      <c r="A17" s="39">
        <v>1015.5</v>
      </c>
      <c r="B17" s="39">
        <v>81.8</v>
      </c>
      <c r="C17" s="33">
        <f>(B17-B8)/B8</f>
        <v>0.213649851632047</v>
      </c>
      <c r="D17" s="10">
        <f>(A17*9.8/1000)/(C4)</f>
        <v>255176.923076923</v>
      </c>
    </row>
    <row r="19" spans="1:3">
      <c r="A19" s="7" t="s">
        <v>12</v>
      </c>
      <c r="B19" s="10" t="s">
        <v>13</v>
      </c>
      <c r="C19" s="7" t="s">
        <v>14</v>
      </c>
    </row>
    <row r="20" spans="1:3">
      <c r="A20" s="7" t="s">
        <v>15</v>
      </c>
      <c r="B20" s="10" t="s">
        <v>16</v>
      </c>
      <c r="C20" s="10">
        <f>SLOPE(D8:D17,C8:C17)</f>
        <v>1169983.37863909</v>
      </c>
    </row>
    <row r="22" spans="2:3">
      <c r="B22">
        <f>STEYX(D8:D17,C8:C17)</f>
        <v>8349.48382209114</v>
      </c>
      <c r="C22">
        <v>1170000</v>
      </c>
    </row>
    <row r="23" spans="2:3">
      <c r="B23">
        <f>1.96*B22</f>
        <v>16364.9882912986</v>
      </c>
      <c r="C23">
        <v>20000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24"/>
  <sheetViews>
    <sheetView workbookViewId="0">
      <selection activeCell="C18" sqref="C18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25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60.5</v>
      </c>
      <c r="C8" s="10">
        <v>0</v>
      </c>
      <c r="D8" s="10">
        <v>0</v>
      </c>
    </row>
    <row r="9" spans="1:4">
      <c r="A9" s="10">
        <v>204.8</v>
      </c>
      <c r="B9" s="10">
        <v>63</v>
      </c>
      <c r="C9" s="10">
        <f>(B9-B8)/B8</f>
        <v>0.0413223140495868</v>
      </c>
      <c r="D9" s="10">
        <f>(A9*9.8/1000)/(C4)</f>
        <v>51462.5641025641</v>
      </c>
    </row>
    <row r="10" spans="1:4">
      <c r="A10" s="10">
        <v>404.8</v>
      </c>
      <c r="B10" s="10">
        <v>64</v>
      </c>
      <c r="C10" s="10">
        <f>(B10-B8)/B8</f>
        <v>0.0578512396694215</v>
      </c>
      <c r="D10" s="10">
        <f>(A10*9.8/1000)/(C4)</f>
        <v>101718.974358974</v>
      </c>
    </row>
    <row r="11" spans="1:4">
      <c r="A11" s="10">
        <v>604.8</v>
      </c>
      <c r="B11" s="10">
        <v>65.5</v>
      </c>
      <c r="C11" s="10">
        <f>(B11-B8)/B8</f>
        <v>0.0826446280991736</v>
      </c>
      <c r="D11" s="10">
        <f>(A11*9.8/1000)/(C4)</f>
        <v>151975.384615385</v>
      </c>
    </row>
    <row r="12" spans="1:4">
      <c r="A12" s="10">
        <v>704.8</v>
      </c>
      <c r="B12" s="10">
        <v>66</v>
      </c>
      <c r="C12" s="10">
        <f>(B12-B8)/B8</f>
        <v>0.0909090909090909</v>
      </c>
      <c r="D12" s="10">
        <f>(A12*9.8/1000)/(C4)</f>
        <v>177103.58974359</v>
      </c>
    </row>
    <row r="13" spans="1:4">
      <c r="A13" s="10">
        <v>804.8</v>
      </c>
      <c r="B13" s="10">
        <v>68</v>
      </c>
      <c r="C13" s="10">
        <f>(B13-B8)/B8</f>
        <v>0.12396694214876</v>
      </c>
      <c r="D13" s="10">
        <f>(A13*9.8/1000)/(C4)</f>
        <v>202231.794871795</v>
      </c>
    </row>
    <row r="14" spans="1:4">
      <c r="A14" s="10">
        <v>904.8</v>
      </c>
      <c r="B14" s="10">
        <v>69.5</v>
      </c>
      <c r="C14" s="10">
        <f>(B14-B8)/B8</f>
        <v>0.148760330578512</v>
      </c>
      <c r="D14" s="10">
        <f>(A14*9.8/1000)/(C4)</f>
        <v>227360</v>
      </c>
    </row>
    <row r="15" spans="1:4">
      <c r="A15" s="10">
        <v>1004.8</v>
      </c>
      <c r="B15" s="10">
        <v>71</v>
      </c>
      <c r="C15" s="10">
        <f>(B15-B8)/B8</f>
        <v>0.173553719008264</v>
      </c>
      <c r="D15" s="10">
        <f>(A15*9.8/1000)/(C4)</f>
        <v>252488.205128205</v>
      </c>
    </row>
    <row r="16" spans="1:4">
      <c r="A16" s="10">
        <v>1104.8</v>
      </c>
      <c r="B16" s="10">
        <v>72</v>
      </c>
      <c r="C16" s="10">
        <f>(B16-B8)/B8</f>
        <v>0.190082644628099</v>
      </c>
      <c r="D16" s="10">
        <f>(A16*9.8/1000)/(C4)</f>
        <v>277616.41025641</v>
      </c>
    </row>
    <row r="17" spans="1:4">
      <c r="A17" s="10">
        <v>1204.8</v>
      </c>
      <c r="B17" s="10">
        <v>74</v>
      </c>
      <c r="C17" s="10">
        <f>(B17-B8)/B8</f>
        <v>0.223140495867769</v>
      </c>
      <c r="D17" s="10">
        <f>(A17*9.8/1000)/(C4)</f>
        <v>302744.615384615</v>
      </c>
    </row>
    <row r="18" spans="1:4">
      <c r="A18" s="10">
        <v>1304.8</v>
      </c>
      <c r="B18" s="10">
        <v>75</v>
      </c>
      <c r="C18" s="10">
        <f>(B18-B8)/B8</f>
        <v>0.239669421487603</v>
      </c>
      <c r="D18" s="10">
        <f>(A18*9.8/1000)/(C4)</f>
        <v>327872.820512821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1329349.44103201</v>
      </c>
    </row>
    <row r="23" spans="2:3">
      <c r="B23">
        <f>STEYX(D8:D18,C8:C18)</f>
        <v>19531.7506880482</v>
      </c>
      <c r="C23">
        <v>1330000</v>
      </c>
    </row>
    <row r="24" spans="2:3">
      <c r="B24">
        <f>1.96*B23</f>
        <v>38282.2313485744</v>
      </c>
      <c r="C24">
        <v>40000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D24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26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79</v>
      </c>
      <c r="C8" s="10">
        <v>0</v>
      </c>
      <c r="D8" s="10">
        <v>0</v>
      </c>
    </row>
    <row r="9" spans="1:4">
      <c r="A9" s="10">
        <v>120.8</v>
      </c>
      <c r="B9" s="10">
        <v>80</v>
      </c>
      <c r="C9" s="10">
        <f>(B9-B8)/B8</f>
        <v>0.0126582278481013</v>
      </c>
      <c r="D9" s="10">
        <f>(A9*9.8/1000)/(C4)</f>
        <v>36425.8461538462</v>
      </c>
    </row>
    <row r="10" spans="1:4">
      <c r="A10" s="10">
        <v>220.8</v>
      </c>
      <c r="B10" s="10">
        <v>83</v>
      </c>
      <c r="C10" s="10">
        <f>(B10-B8)/B8</f>
        <v>0.0506329113924051</v>
      </c>
      <c r="D10" s="10">
        <f>(A10*9.8/1000)/(C4)</f>
        <v>66579.6923076923</v>
      </c>
    </row>
    <row r="11" spans="1:4">
      <c r="A11" s="10">
        <v>270.8</v>
      </c>
      <c r="B11" s="10">
        <v>83.5</v>
      </c>
      <c r="C11" s="10">
        <f>(B11-B8)/B8</f>
        <v>0.0569620253164557</v>
      </c>
      <c r="D11" s="10">
        <f>(A11*9.8/1000)/(C4)</f>
        <v>81656.6153846154</v>
      </c>
    </row>
    <row r="12" spans="1:4">
      <c r="A12" s="10">
        <v>320.8</v>
      </c>
      <c r="B12" s="10">
        <v>84</v>
      </c>
      <c r="C12" s="10">
        <f>(B12-B8)/B8</f>
        <v>0.0632911392405063</v>
      </c>
      <c r="D12" s="10">
        <f>(A12*9.8/1000)/(C4)</f>
        <v>96733.5384615385</v>
      </c>
    </row>
    <row r="13" spans="1:4">
      <c r="A13" s="10">
        <v>370.8</v>
      </c>
      <c r="B13" s="10">
        <v>85</v>
      </c>
      <c r="C13" s="10">
        <f>(B13-B8)/B8</f>
        <v>0.0759493670886076</v>
      </c>
      <c r="D13" s="10">
        <f>(A13*9.8/1000)/(C4)</f>
        <v>111810.461538462</v>
      </c>
    </row>
    <row r="14" spans="1:4">
      <c r="A14" s="10">
        <v>570.8</v>
      </c>
      <c r="B14" s="10">
        <v>88</v>
      </c>
      <c r="C14" s="10">
        <f>(B14-B8)/B8</f>
        <v>0.113924050632911</v>
      </c>
      <c r="D14" s="10">
        <f>(A14*9.8/1000)/(C4)</f>
        <v>172118.153846154</v>
      </c>
    </row>
    <row r="15" spans="1:4">
      <c r="A15" s="10">
        <v>620.8</v>
      </c>
      <c r="B15" s="10">
        <v>90</v>
      </c>
      <c r="C15" s="10">
        <f>(B15-B8)/B8</f>
        <v>0.139240506329114</v>
      </c>
      <c r="D15" s="10">
        <f>(A15*9.8/1000)/(C4)</f>
        <v>187195.076923077</v>
      </c>
    </row>
    <row r="16" spans="1:4">
      <c r="A16" s="10">
        <v>720.8</v>
      </c>
      <c r="B16" s="10">
        <v>91.5</v>
      </c>
      <c r="C16" s="10">
        <f>(B16-B8)/B8</f>
        <v>0.158227848101266</v>
      </c>
      <c r="D16" s="10">
        <f>(A16*9.8/1000)/(C4)</f>
        <v>217348.923076923</v>
      </c>
    </row>
    <row r="17" spans="1:4">
      <c r="A17" s="10">
        <v>820.8</v>
      </c>
      <c r="B17" s="10">
        <v>94</v>
      </c>
      <c r="C17" s="10">
        <f>(B17-B8)/B8</f>
        <v>0.189873417721519</v>
      </c>
      <c r="D17" s="10">
        <f>(A17*9.8/1000)/(C4)</f>
        <v>247502.769230769</v>
      </c>
    </row>
    <row r="18" spans="1:4">
      <c r="A18" s="10">
        <v>1020.8</v>
      </c>
      <c r="B18" s="10">
        <v>97</v>
      </c>
      <c r="C18" s="10">
        <f>(B18-B8)/B8</f>
        <v>0.227848101265823</v>
      </c>
      <c r="D18" s="10">
        <f>(A18*9.8/1000)/(C4)</f>
        <v>307810.461538462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1299239.51392256</v>
      </c>
    </row>
    <row r="23" spans="2:3">
      <c r="B23">
        <f>STEYX(D8:D18,C8:C18)</f>
        <v>8322.07876545799</v>
      </c>
      <c r="C23">
        <v>1300000</v>
      </c>
    </row>
    <row r="24" spans="2:3">
      <c r="B24">
        <f>1.96*B23</f>
        <v>16311.2743802977</v>
      </c>
      <c r="C24">
        <v>20000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D24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27</v>
      </c>
    </row>
    <row r="2" ht="14.4" spans="1:2">
      <c r="A2" s="3" t="s">
        <v>2</v>
      </c>
      <c r="B2" s="4"/>
    </row>
    <row r="3" spans="1:3">
      <c r="A3" s="5" t="s">
        <v>3</v>
      </c>
      <c r="B3" s="19">
        <v>12.1</v>
      </c>
      <c r="C3" s="7" t="s">
        <v>4</v>
      </c>
    </row>
    <row r="4" spans="1:3">
      <c r="A4" s="8" t="s">
        <v>5</v>
      </c>
      <c r="B4" s="9">
        <v>3.5</v>
      </c>
      <c r="C4" s="10">
        <f>(B3/1000)*(B4/1000)</f>
        <v>4.235e-5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68.5</v>
      </c>
      <c r="C8" s="10">
        <v>0</v>
      </c>
      <c r="D8" s="10">
        <v>0</v>
      </c>
    </row>
    <row r="9" spans="1:4">
      <c r="A9" s="10">
        <v>5</v>
      </c>
      <c r="B9" s="10">
        <v>69</v>
      </c>
      <c r="C9" s="10">
        <f>(B9-B8)/B8</f>
        <v>0.0072992700729927</v>
      </c>
      <c r="D9" s="10">
        <f>(A9*9.8/1000)/(C4)</f>
        <v>1157.02479338843</v>
      </c>
    </row>
    <row r="10" spans="1:4">
      <c r="A10" s="10">
        <v>55</v>
      </c>
      <c r="B10" s="10">
        <v>70</v>
      </c>
      <c r="C10" s="10">
        <f>(B10-B8)/B8</f>
        <v>0.0218978102189781</v>
      </c>
      <c r="D10" s="10">
        <f>(A10*9.8/1000)/(C4)</f>
        <v>12727.2727272727</v>
      </c>
    </row>
    <row r="11" spans="1:4">
      <c r="A11" s="10">
        <v>105</v>
      </c>
      <c r="B11" s="10">
        <v>71</v>
      </c>
      <c r="C11" s="10">
        <f>(B11-B8)/B8</f>
        <v>0.0364963503649635</v>
      </c>
      <c r="D11" s="10">
        <f>(A11*9.8/1000)/(C4)</f>
        <v>24297.520661157</v>
      </c>
    </row>
    <row r="12" spans="1:4">
      <c r="A12" s="10">
        <v>205</v>
      </c>
      <c r="B12" s="10">
        <v>73</v>
      </c>
      <c r="C12" s="10">
        <f>(B12-B8)/B8</f>
        <v>0.0656934306569343</v>
      </c>
      <c r="D12" s="10">
        <f>(A12*9.8/1000)/(C4)</f>
        <v>47438.0165289256</v>
      </c>
    </row>
    <row r="13" spans="1:4">
      <c r="A13" s="10">
        <v>305</v>
      </c>
      <c r="B13" s="10">
        <v>75</v>
      </c>
      <c r="C13" s="10">
        <f>(B13-B8)/B8</f>
        <v>0.0948905109489051</v>
      </c>
      <c r="D13" s="10">
        <f>(A13*9.8/1000)/(C4)</f>
        <v>70578.5123966942</v>
      </c>
    </row>
    <row r="14" spans="1:4">
      <c r="A14" s="10">
        <v>505</v>
      </c>
      <c r="B14" s="10">
        <v>77</v>
      </c>
      <c r="C14" s="10">
        <f>(B14-B8)/B8</f>
        <v>0.124087591240876</v>
      </c>
      <c r="D14" s="10">
        <f>(A14*9.8/1000)/(C4)</f>
        <v>116859.504132231</v>
      </c>
    </row>
    <row r="15" spans="1:4">
      <c r="A15" s="10">
        <v>605</v>
      </c>
      <c r="B15" s="10">
        <v>79</v>
      </c>
      <c r="C15" s="10">
        <f>(B15-B8)/B8</f>
        <v>0.153284671532847</v>
      </c>
      <c r="D15" s="10">
        <f>(A15*9.8/1000)/(C4)</f>
        <v>140000</v>
      </c>
    </row>
    <row r="16" spans="1:4">
      <c r="A16" s="10">
        <v>705</v>
      </c>
      <c r="B16" s="10">
        <v>81</v>
      </c>
      <c r="C16" s="10">
        <f>(B16-B8)/B8</f>
        <v>0.182481751824818</v>
      </c>
      <c r="D16" s="10">
        <f>(A16*9.8/1000)/(C4)</f>
        <v>163140.495867769</v>
      </c>
    </row>
    <row r="17" spans="1:4">
      <c r="A17" s="10">
        <v>755</v>
      </c>
      <c r="B17" s="10">
        <v>83</v>
      </c>
      <c r="C17" s="10">
        <f>(B17-B8)/B8</f>
        <v>0.211678832116788</v>
      </c>
      <c r="D17" s="10">
        <f>(A17*9.8/1000)/(C4)</f>
        <v>174710.743801653</v>
      </c>
    </row>
    <row r="18" spans="1:4">
      <c r="A18" s="10">
        <v>855</v>
      </c>
      <c r="B18" s="10">
        <v>87</v>
      </c>
      <c r="C18" s="10">
        <f>(B18-B8)/B8</f>
        <v>0.27007299270073</v>
      </c>
      <c r="D18" s="10">
        <f>(A18*9.8/1000)/(C4)</f>
        <v>197851.239669421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818491.772542247</v>
      </c>
    </row>
    <row r="23" spans="2:3">
      <c r="B23">
        <f>STEYX(D8:D18,C8:C18)</f>
        <v>12213.720129025</v>
      </c>
      <c r="C23">
        <v>820000</v>
      </c>
    </row>
    <row r="24" spans="2:3">
      <c r="B24">
        <f>1.96*B23</f>
        <v>23938.891452889</v>
      </c>
      <c r="C24">
        <v>20000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D24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28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70</v>
      </c>
      <c r="C8" s="10">
        <v>0</v>
      </c>
      <c r="D8" s="10">
        <v>0</v>
      </c>
    </row>
    <row r="9" spans="1:4">
      <c r="A9" s="10">
        <v>120.5</v>
      </c>
      <c r="B9" s="10">
        <v>71</v>
      </c>
      <c r="C9" s="10">
        <f>(B9-B8)/B8</f>
        <v>0.0142857142857143</v>
      </c>
      <c r="D9" s="10">
        <f>(A9*9.8/1000)/(C4)</f>
        <v>36335.3846153846</v>
      </c>
    </row>
    <row r="10" spans="1:4">
      <c r="A10" s="10">
        <v>220.5</v>
      </c>
      <c r="B10" s="10">
        <v>72</v>
      </c>
      <c r="C10" s="10">
        <f>(B10-B8)/B8</f>
        <v>0.0285714285714286</v>
      </c>
      <c r="D10" s="10">
        <f>(A10*9.8/1000)/(C4)</f>
        <v>66489.2307692308</v>
      </c>
    </row>
    <row r="11" spans="1:4">
      <c r="A11" s="10">
        <v>320.5</v>
      </c>
      <c r="B11" s="10">
        <v>74</v>
      </c>
      <c r="C11" s="10">
        <f>(B11-B8)/B8</f>
        <v>0.0571428571428571</v>
      </c>
      <c r="D11" s="10">
        <f>(A11*9.8/1000)/(C4)</f>
        <v>96643.0769230769</v>
      </c>
    </row>
    <row r="12" spans="1:4">
      <c r="A12" s="10">
        <v>420.5</v>
      </c>
      <c r="B12" s="10">
        <v>75.5</v>
      </c>
      <c r="C12" s="10">
        <f>(B12-B8)/B8</f>
        <v>0.0785714285714286</v>
      </c>
      <c r="D12" s="10">
        <f>(A12*9.8/1000)/(C4)</f>
        <v>126796.923076923</v>
      </c>
    </row>
    <row r="13" spans="1:4">
      <c r="A13" s="10">
        <v>470.5</v>
      </c>
      <c r="B13" s="10">
        <v>76</v>
      </c>
      <c r="C13" s="10">
        <f>(B13-B8)/B8</f>
        <v>0.0857142857142857</v>
      </c>
      <c r="D13" s="10">
        <f>(A13*9.8/1000)/(C4)</f>
        <v>141873.846153846</v>
      </c>
    </row>
    <row r="14" spans="1:4">
      <c r="A14" s="10">
        <v>520.5</v>
      </c>
      <c r="B14" s="10">
        <v>77</v>
      </c>
      <c r="C14" s="10">
        <f>(B14-B8)/B8</f>
        <v>0.1</v>
      </c>
      <c r="D14" s="10">
        <f>(A14*9.8/1000)/(C4)</f>
        <v>156950.769230769</v>
      </c>
    </row>
    <row r="15" spans="1:4">
      <c r="A15" s="10">
        <v>570.5</v>
      </c>
      <c r="B15" s="10">
        <v>78</v>
      </c>
      <c r="C15" s="10">
        <f>(B15-B8)/B8</f>
        <v>0.114285714285714</v>
      </c>
      <c r="D15" s="10">
        <f>(A15*9.8/1000)/(C4)</f>
        <v>172027.692307692</v>
      </c>
    </row>
    <row r="16" spans="1:4">
      <c r="A16" s="10">
        <v>770.5</v>
      </c>
      <c r="B16" s="10">
        <v>82</v>
      </c>
      <c r="C16" s="10">
        <f>(B16-B8)/B8</f>
        <v>0.171428571428571</v>
      </c>
      <c r="D16" s="10">
        <f>(A16*9.8/1000)/(C4)</f>
        <v>232335.384615385</v>
      </c>
    </row>
    <row r="17" spans="1:4">
      <c r="A17" s="10">
        <v>970.5</v>
      </c>
      <c r="B17" s="10">
        <v>85</v>
      </c>
      <c r="C17" s="10">
        <f>(B17-B8)/B8</f>
        <v>0.214285714285714</v>
      </c>
      <c r="D17" s="10">
        <f>(A17*9.8/1000)/(C4)</f>
        <v>292643.076923077</v>
      </c>
    </row>
    <row r="18" spans="1:4">
      <c r="A18" s="10">
        <v>1070.5</v>
      </c>
      <c r="B18" s="10">
        <v>86</v>
      </c>
      <c r="C18" s="10">
        <f>(B18-B8)/B8</f>
        <v>0.228571428571429</v>
      </c>
      <c r="D18" s="10">
        <f>(A18*9.8/1000)/(C4)</f>
        <v>322796.923076923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1308757.08715405</v>
      </c>
    </row>
    <row r="23" spans="2:3">
      <c r="B23">
        <f>STEYX(D8:D18,C8:C18)</f>
        <v>9778.54800660555</v>
      </c>
      <c r="C23">
        <v>1310000</v>
      </c>
    </row>
    <row r="24" spans="2:3">
      <c r="B24">
        <f>1.96*B23</f>
        <v>19165.9540929469</v>
      </c>
      <c r="C24">
        <v>20000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D24"/>
  <sheetViews>
    <sheetView workbookViewId="0">
      <selection activeCell="C24" sqref="C2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3" t="s">
        <v>29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3.5</v>
      </c>
      <c r="C4" s="10">
        <f>(B3/1000)*(B4/1000)</f>
        <v>4.55e-5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47">
        <v>0</v>
      </c>
      <c r="B8" s="47">
        <v>72</v>
      </c>
      <c r="C8" s="33">
        <v>0</v>
      </c>
      <c r="D8" s="33">
        <v>0</v>
      </c>
    </row>
    <row r="9" spans="1:4">
      <c r="A9" s="33">
        <v>20</v>
      </c>
      <c r="B9" s="33">
        <v>73</v>
      </c>
      <c r="C9" s="33">
        <f>(B9-B8)/B8</f>
        <v>0.0138888888888889</v>
      </c>
      <c r="D9" s="33">
        <f>(A9*9.8/1000)/(C4)</f>
        <v>4307.69230769231</v>
      </c>
    </row>
    <row r="10" spans="1:4">
      <c r="A10" s="33">
        <v>120</v>
      </c>
      <c r="B10" s="33">
        <v>75</v>
      </c>
      <c r="C10" s="33">
        <f>(B10-B8)/B8</f>
        <v>0.0416666666666667</v>
      </c>
      <c r="D10" s="33">
        <f>(A10*9.8/1000)/(C4)</f>
        <v>25846.1538461538</v>
      </c>
    </row>
    <row r="11" spans="1:4">
      <c r="A11" s="33">
        <v>220</v>
      </c>
      <c r="B11" s="33">
        <v>76</v>
      </c>
      <c r="C11" s="33">
        <f>(B11-B8)/B8</f>
        <v>0.0555555555555556</v>
      </c>
      <c r="D11" s="33">
        <f>(A11*9.8/1000)/(C4)</f>
        <v>47384.6153846154</v>
      </c>
    </row>
    <row r="12" spans="1:4">
      <c r="A12" s="33">
        <v>320</v>
      </c>
      <c r="B12" s="33">
        <v>77</v>
      </c>
      <c r="C12" s="33">
        <f>(B12-B8)/B8</f>
        <v>0.0694444444444444</v>
      </c>
      <c r="D12" s="33">
        <f>(A12*9.8/1000)/(C4)</f>
        <v>68923.0769230769</v>
      </c>
    </row>
    <row r="13" spans="1:4">
      <c r="A13" s="33">
        <v>370</v>
      </c>
      <c r="B13" s="33">
        <v>77.5</v>
      </c>
      <c r="C13" s="33">
        <f>(B13-B8)/B8</f>
        <v>0.0763888888888889</v>
      </c>
      <c r="D13" s="33">
        <f>(A13*9.8/1000)/(C4)</f>
        <v>79692.3076923077</v>
      </c>
    </row>
    <row r="14" spans="1:4">
      <c r="A14" s="33">
        <v>470</v>
      </c>
      <c r="B14" s="33">
        <v>79</v>
      </c>
      <c r="C14" s="33">
        <f>(B14-B8)/B8</f>
        <v>0.0972222222222222</v>
      </c>
      <c r="D14" s="33">
        <f>(A14*9.8/1000)/(C4)</f>
        <v>101230.769230769</v>
      </c>
    </row>
    <row r="15" spans="1:4">
      <c r="A15" s="33">
        <v>520</v>
      </c>
      <c r="B15" s="33">
        <v>79.5</v>
      </c>
      <c r="C15" s="33">
        <f>(B15-B8)/B8</f>
        <v>0.104166666666667</v>
      </c>
      <c r="D15" s="33">
        <f>(A15*9.8/1000)/(C4)</f>
        <v>112000</v>
      </c>
    </row>
    <row r="16" spans="1:4">
      <c r="A16" s="33">
        <v>570</v>
      </c>
      <c r="B16" s="33">
        <v>80</v>
      </c>
      <c r="C16" s="33">
        <f>(B16-B8)/B8</f>
        <v>0.111111111111111</v>
      </c>
      <c r="D16" s="33">
        <f>(A16*9.8/1000)/(C4)</f>
        <v>122769.230769231</v>
      </c>
    </row>
    <row r="17" spans="1:4">
      <c r="A17" s="33">
        <v>620</v>
      </c>
      <c r="B17" s="33">
        <v>81</v>
      </c>
      <c r="C17" s="33">
        <f>(B17-B8)/B8</f>
        <v>0.125</v>
      </c>
      <c r="D17" s="33">
        <f>(A17*9.8/1000)/(C4)</f>
        <v>133538.461538462</v>
      </c>
    </row>
    <row r="18" spans="1:4">
      <c r="A18" s="33">
        <v>670</v>
      </c>
      <c r="B18" s="33">
        <v>81.5</v>
      </c>
      <c r="C18" s="33">
        <f>(B18-B8)/B8</f>
        <v>0.131944444444444</v>
      </c>
      <c r="D18" s="33">
        <f>(A18*9.8/1000)/(C4)</f>
        <v>144307.692307692</v>
      </c>
    </row>
    <row r="20" spans="1:3">
      <c r="A20" s="7" t="s">
        <v>12</v>
      </c>
      <c r="B20" s="10" t="s">
        <v>22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1163288.58402744</v>
      </c>
    </row>
    <row r="23" spans="2:3">
      <c r="B23">
        <f>STEYX(D8:D18,C8:C18)</f>
        <v>6040.81507000233</v>
      </c>
      <c r="C23">
        <v>1160000</v>
      </c>
    </row>
    <row r="24" spans="2:3">
      <c r="B24">
        <f>1.96*B23</f>
        <v>11839.9975372046</v>
      </c>
      <c r="C24">
        <v>10000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D24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30</v>
      </c>
    </row>
    <row r="2" ht="14.4" spans="1:2">
      <c r="A2" s="3" t="s">
        <v>2</v>
      </c>
      <c r="B2" s="4"/>
    </row>
    <row r="3" spans="1:3">
      <c r="A3" s="5" t="s">
        <v>3</v>
      </c>
      <c r="B3" s="43">
        <v>13</v>
      </c>
      <c r="C3" s="40" t="s">
        <v>4</v>
      </c>
    </row>
    <row r="4" spans="1:3">
      <c r="A4" s="8" t="s">
        <v>5</v>
      </c>
      <c r="B4" s="44">
        <v>3</v>
      </c>
      <c r="C4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9">
        <v>0</v>
      </c>
      <c r="B8" s="45">
        <v>72</v>
      </c>
      <c r="C8" s="10">
        <v>0</v>
      </c>
      <c r="D8" s="10">
        <v>0</v>
      </c>
    </row>
    <row r="9" spans="1:4">
      <c r="A9" s="39">
        <v>15.5</v>
      </c>
      <c r="B9" s="45">
        <v>72.5</v>
      </c>
      <c r="C9" s="10">
        <f>(B9-B8)/B8</f>
        <v>0.00694444444444444</v>
      </c>
      <c r="D9" s="10">
        <f>(A9*9.8/1000)/(C4)</f>
        <v>3894.87179487179</v>
      </c>
    </row>
    <row r="10" spans="1:4">
      <c r="A10" s="39">
        <v>115.5</v>
      </c>
      <c r="B10" s="45">
        <v>74</v>
      </c>
      <c r="C10" s="10">
        <f>(B10-B8)/B8</f>
        <v>0.0277777777777778</v>
      </c>
      <c r="D10" s="10">
        <f>(A10*9.8/1000)/(C4)</f>
        <v>29023.0769230769</v>
      </c>
    </row>
    <row r="11" spans="1:4">
      <c r="A11" s="39">
        <v>215.5</v>
      </c>
      <c r="B11" s="45">
        <v>76</v>
      </c>
      <c r="C11" s="10">
        <f>(B11-B8)/B8</f>
        <v>0.0555555555555556</v>
      </c>
      <c r="D11" s="10">
        <f>(A11*9.8/1000)/(C4)</f>
        <v>54151.282051282</v>
      </c>
    </row>
    <row r="12" spans="1:4">
      <c r="A12" s="39">
        <v>415.5</v>
      </c>
      <c r="B12" s="45">
        <v>80</v>
      </c>
      <c r="C12" s="10">
        <f>(B12-B8)/B8</f>
        <v>0.111111111111111</v>
      </c>
      <c r="D12" s="10">
        <f>(A12*9.8/1000)/(C4)</f>
        <v>104407.692307692</v>
      </c>
    </row>
    <row r="13" spans="1:4">
      <c r="A13" s="39">
        <v>515.5</v>
      </c>
      <c r="B13" s="45">
        <v>81.8</v>
      </c>
      <c r="C13" s="10">
        <f>(B13-B8)/B8</f>
        <v>0.136111111111111</v>
      </c>
      <c r="D13" s="10">
        <f>(A13*9.8/1000)/(C4)</f>
        <v>129535.897435897</v>
      </c>
    </row>
    <row r="14" ht="14.4" spans="1:4">
      <c r="A14" s="46">
        <v>615.5</v>
      </c>
      <c r="B14" s="45">
        <v>84</v>
      </c>
      <c r="C14" s="10">
        <f>(B14-B8)/B8</f>
        <v>0.166666666666667</v>
      </c>
      <c r="D14" s="10">
        <f>(A14*9.8/1000)/(C4)</f>
        <v>154664.102564103</v>
      </c>
    </row>
    <row r="15" spans="1:4">
      <c r="A15" s="39">
        <v>815.5</v>
      </c>
      <c r="B15" s="45">
        <v>87.8</v>
      </c>
      <c r="C15" s="10">
        <f>(B15-B8)/B8</f>
        <v>0.219444444444444</v>
      </c>
      <c r="D15" s="10">
        <f>(A15*9.8/1000)/(C4)</f>
        <v>204920.512820513</v>
      </c>
    </row>
    <row r="16" spans="1:4">
      <c r="A16" s="39">
        <v>828.5</v>
      </c>
      <c r="B16" s="45">
        <v>88.5</v>
      </c>
      <c r="C16" s="10">
        <f>(B16-B8)/B8</f>
        <v>0.229166666666667</v>
      </c>
      <c r="D16" s="10">
        <f>(A16*9.8/1000)/(C4)</f>
        <v>208187.179487179</v>
      </c>
    </row>
    <row r="17" spans="1:4">
      <c r="A17" s="39">
        <v>928.5</v>
      </c>
      <c r="B17" s="45">
        <v>91</v>
      </c>
      <c r="C17" s="10">
        <f>(B17-B8)/B8</f>
        <v>0.263888888888889</v>
      </c>
      <c r="D17" s="10">
        <f>(A17*9.8/1000)/(C4)</f>
        <v>233315.384615385</v>
      </c>
    </row>
    <row r="18" spans="1:4">
      <c r="A18" s="39">
        <v>941.3</v>
      </c>
      <c r="B18" s="45">
        <v>91.8</v>
      </c>
      <c r="C18" s="10">
        <f>(B18-B8)/B8</f>
        <v>0.275</v>
      </c>
      <c r="D18" s="10">
        <f>(A18*9.8/1000)/(C4)</f>
        <v>236531.794871795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884135.666344665</v>
      </c>
    </row>
    <row r="23" spans="2:3">
      <c r="B23">
        <f>STEYX(D8:D18,C8:C18)</f>
        <v>5536.65187908604</v>
      </c>
      <c r="C23">
        <v>880000</v>
      </c>
    </row>
    <row r="24" spans="2:3">
      <c r="B24">
        <f>1.96*B23</f>
        <v>10851.8376830086</v>
      </c>
      <c r="C24">
        <v>10000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24"/>
  <sheetViews>
    <sheetView workbookViewId="0">
      <selection activeCell="B16" sqref="B16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31</v>
      </c>
    </row>
    <row r="2" ht="14.4" spans="1:2">
      <c r="A2" s="3" t="s">
        <v>2</v>
      </c>
      <c r="B2" s="4"/>
    </row>
    <row r="3" spans="1:3">
      <c r="A3" s="5" t="s">
        <v>3</v>
      </c>
      <c r="B3" s="19">
        <v>13.6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4.08e-5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41">
        <v>61.5</v>
      </c>
      <c r="C8" s="10">
        <v>0</v>
      </c>
      <c r="D8" s="10">
        <v>0</v>
      </c>
    </row>
    <row r="9" spans="1:4">
      <c r="A9" s="10">
        <v>112.2</v>
      </c>
      <c r="B9" s="42">
        <v>63.5</v>
      </c>
      <c r="C9" s="10">
        <f>(B9-B8)/B8</f>
        <v>0.032520325203252</v>
      </c>
      <c r="D9" s="10">
        <f>(A9*9.8/1000)/(C4)</f>
        <v>26950</v>
      </c>
    </row>
    <row r="10" spans="1:4">
      <c r="A10" s="10">
        <v>212.2</v>
      </c>
      <c r="B10" s="42">
        <v>64.2</v>
      </c>
      <c r="C10" s="10">
        <f>(B10-B8)/B8</f>
        <v>0.0439024390243903</v>
      </c>
      <c r="D10" s="10">
        <f>(A10*9.8/1000)/(C4)</f>
        <v>50969.6078431373</v>
      </c>
    </row>
    <row r="11" spans="1:4">
      <c r="A11" s="10">
        <v>312.2</v>
      </c>
      <c r="B11" s="42">
        <v>65.5</v>
      </c>
      <c r="C11" s="10">
        <f>(B11-B8)/B8</f>
        <v>0.0650406504065041</v>
      </c>
      <c r="D11" s="10">
        <f>(A11*9.8/1000)/(C4)</f>
        <v>74989.2156862745</v>
      </c>
    </row>
    <row r="12" spans="1:4">
      <c r="A12" s="10">
        <v>412.2</v>
      </c>
      <c r="B12" s="42">
        <v>66.5</v>
      </c>
      <c r="C12" s="10">
        <f>(B12-B8)/B8</f>
        <v>0.0813008130081301</v>
      </c>
      <c r="D12" s="10">
        <f>(A12*9.8/1000)/(C4)</f>
        <v>99008.8235294118</v>
      </c>
    </row>
    <row r="13" spans="1:4">
      <c r="A13" s="10">
        <v>512.2</v>
      </c>
      <c r="B13" s="42">
        <v>67.5</v>
      </c>
      <c r="C13" s="10">
        <f>(B13-B8)/B8</f>
        <v>0.0975609756097561</v>
      </c>
      <c r="D13" s="10">
        <f>(A13*9.8/1000)/(C4)</f>
        <v>123028.431372549</v>
      </c>
    </row>
    <row r="14" spans="1:4">
      <c r="A14" s="10">
        <v>612.2</v>
      </c>
      <c r="B14" s="42">
        <v>69.5</v>
      </c>
      <c r="C14" s="10">
        <f>(B14-B8)/B8</f>
        <v>0.130081300813008</v>
      </c>
      <c r="D14" s="10">
        <f>(A14*9.8/1000)/(C4)</f>
        <v>147048.039215686</v>
      </c>
    </row>
    <row r="15" spans="1:4">
      <c r="A15" s="10">
        <v>712.2</v>
      </c>
      <c r="B15" s="42">
        <v>71.2</v>
      </c>
      <c r="C15" s="10">
        <f>(B15-B8)/B8</f>
        <v>0.157723577235772</v>
      </c>
      <c r="D15" s="10">
        <f>(A15*9.8/1000)/(C4)</f>
        <v>171067.647058824</v>
      </c>
    </row>
    <row r="16" spans="1:4">
      <c r="A16" s="10">
        <v>762.2</v>
      </c>
      <c r="B16" s="42">
        <v>72</v>
      </c>
      <c r="C16" s="10">
        <f>(B16-B8)/B8</f>
        <v>0.170731707317073</v>
      </c>
      <c r="D16" s="10">
        <f>(A16*9.8/1000)/(C4)</f>
        <v>183077.450980392</v>
      </c>
    </row>
    <row r="17" spans="1:4">
      <c r="A17" s="10">
        <v>812.2</v>
      </c>
      <c r="B17" s="42">
        <v>72.9</v>
      </c>
      <c r="C17" s="10">
        <f>(B17-B8)/B8</f>
        <v>0.185365853658537</v>
      </c>
      <c r="D17" s="10">
        <f>(A17*9.8/1000)/(C4)</f>
        <v>195087.254901961</v>
      </c>
    </row>
    <row r="18" spans="1:4">
      <c r="A18" s="10">
        <v>862.2</v>
      </c>
      <c r="B18" s="42">
        <v>73.8</v>
      </c>
      <c r="C18" s="10">
        <f>(B18-B8)/B8</f>
        <v>0.2</v>
      </c>
      <c r="D18" s="10">
        <f>(A18*9.8/1000)/(C4)</f>
        <v>207097.058823529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1049871.2565402</v>
      </c>
    </row>
    <row r="23" spans="2:3">
      <c r="B23">
        <f>STEYX(D8:D18,C8:C18)</f>
        <v>8225.32182721843</v>
      </c>
      <c r="C23">
        <v>1050000</v>
      </c>
    </row>
    <row r="24" spans="2:3">
      <c r="B24">
        <f>1.96*B23</f>
        <v>16121.6307813481</v>
      </c>
      <c r="C24">
        <v>20000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D24"/>
  <sheetViews>
    <sheetView workbookViewId="0">
      <selection activeCell="C14" sqref="C1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32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84</v>
      </c>
      <c r="C8" s="10">
        <v>0</v>
      </c>
      <c r="D8" s="10">
        <v>0</v>
      </c>
    </row>
    <row r="9" spans="1:4">
      <c r="A9" s="10">
        <v>65.4</v>
      </c>
      <c r="B9" s="10">
        <v>85.1</v>
      </c>
      <c r="C9" s="10">
        <f>(B9-B8)/B8</f>
        <v>0.013095238095238</v>
      </c>
      <c r="D9" s="10">
        <f>(A9*9.8/1000)/(C4)</f>
        <v>16433.8461538462</v>
      </c>
    </row>
    <row r="10" spans="1:4">
      <c r="A10" s="10">
        <v>165.4</v>
      </c>
      <c r="B10" s="10">
        <v>87.5</v>
      </c>
      <c r="C10" s="10">
        <f>(B10-B8)/B8</f>
        <v>0.0416666666666667</v>
      </c>
      <c r="D10" s="10">
        <f>(A10*9.8/1000)/(C4)</f>
        <v>41562.0512820513</v>
      </c>
    </row>
    <row r="11" spans="1:4">
      <c r="A11" s="10">
        <v>265.4</v>
      </c>
      <c r="B11" s="10">
        <v>89.3</v>
      </c>
      <c r="C11" s="10">
        <f>(B11-B8)/B8</f>
        <v>0.0630952380952381</v>
      </c>
      <c r="D11" s="10">
        <f>(A11*9.8/1000)/(C4)</f>
        <v>66690.2564102564</v>
      </c>
    </row>
    <row r="12" spans="1:4">
      <c r="A12" s="10">
        <v>365.4</v>
      </c>
      <c r="B12" s="10">
        <v>90</v>
      </c>
      <c r="C12" s="10">
        <f>(B12-B8)/B8</f>
        <v>0.0714285714285714</v>
      </c>
      <c r="D12" s="10">
        <f>(A12*9.8/1000)/(C4)</f>
        <v>91818.4615384615</v>
      </c>
    </row>
    <row r="13" spans="1:4">
      <c r="A13" s="10">
        <v>465.4</v>
      </c>
      <c r="B13" s="10">
        <v>93.3</v>
      </c>
      <c r="C13" s="10">
        <f>(B13-B8)/B8</f>
        <v>0.110714285714286</v>
      </c>
      <c r="D13" s="10">
        <f>(A13*9.8/1000)/(C4)</f>
        <v>116946.666666667</v>
      </c>
    </row>
    <row r="14" spans="1:4">
      <c r="A14" s="10">
        <v>565.4</v>
      </c>
      <c r="B14" s="10">
        <v>95.2</v>
      </c>
      <c r="C14" s="10">
        <f>(B14-B8)/B8</f>
        <v>0.133333333333333</v>
      </c>
      <c r="D14" s="10">
        <f>(A14*9.8/1000)/(C4)</f>
        <v>142074.871794872</v>
      </c>
    </row>
    <row r="15" spans="1:4">
      <c r="A15" s="10">
        <v>615.4</v>
      </c>
      <c r="B15" s="10">
        <v>97.1</v>
      </c>
      <c r="C15" s="10">
        <f>(B15-B8)/B8</f>
        <v>0.155952380952381</v>
      </c>
      <c r="D15" s="10">
        <f>(A15*9.8/1000)/(C4)</f>
        <v>154638.974358974</v>
      </c>
    </row>
    <row r="16" spans="1:4">
      <c r="A16" s="10">
        <v>665.4</v>
      </c>
      <c r="B16" s="10">
        <v>98.4</v>
      </c>
      <c r="C16" s="10">
        <f>(B16-B8)/B8</f>
        <v>0.171428571428571</v>
      </c>
      <c r="D16" s="10">
        <f>(A16*9.8/1000)/(C4)</f>
        <v>167203.076923077</v>
      </c>
    </row>
    <row r="17" spans="1:4">
      <c r="A17" s="10">
        <v>765.4</v>
      </c>
      <c r="B17" s="10">
        <v>100</v>
      </c>
      <c r="C17" s="10">
        <f>(B17-B8)/B8</f>
        <v>0.19047619047619</v>
      </c>
      <c r="D17" s="10">
        <f>(A17*9.8/1000)/(C4)</f>
        <v>192331.282051282</v>
      </c>
    </row>
    <row r="18" spans="1:4">
      <c r="A18" s="10">
        <v>815.4</v>
      </c>
      <c r="B18" s="10">
        <v>101.3</v>
      </c>
      <c r="C18" s="10">
        <f>(B18-B8)/B8</f>
        <v>0.205952380952381</v>
      </c>
      <c r="D18" s="10">
        <f>(A18*9.8/1000)/(C4)</f>
        <v>204895.384615385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33</v>
      </c>
      <c r="C21" s="10">
        <f>SLOPE(D8:D18,C8:C18)</f>
        <v>977660.047112581</v>
      </c>
    </row>
    <row r="23" spans="2:3">
      <c r="B23">
        <f>STEYX(D8:D18,C8:C18)</f>
        <v>6879.15480463636</v>
      </c>
      <c r="C23">
        <v>980000</v>
      </c>
    </row>
    <row r="24" spans="2:3">
      <c r="B24">
        <f>1.96*B23</f>
        <v>13483.1434170873</v>
      </c>
      <c r="C24">
        <v>10000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D24"/>
  <sheetViews>
    <sheetView workbookViewId="0">
      <selection activeCell="C29" sqref="C2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34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76</v>
      </c>
      <c r="C8" s="10">
        <v>0</v>
      </c>
      <c r="D8" s="10">
        <v>0</v>
      </c>
    </row>
    <row r="9" spans="1:4">
      <c r="A9" s="10">
        <v>115.2</v>
      </c>
      <c r="B9" s="10">
        <v>78.4</v>
      </c>
      <c r="C9" s="10">
        <f>(B9-B8)/B8</f>
        <v>0.0315789473684211</v>
      </c>
      <c r="D9" s="10">
        <f>(A9*9.8/1000)/(C4)</f>
        <v>43421.5384615385</v>
      </c>
    </row>
    <row r="10" spans="1:4">
      <c r="A10" s="10">
        <v>215.2</v>
      </c>
      <c r="B10" s="10">
        <v>80.1</v>
      </c>
      <c r="C10" s="10">
        <f>(B10-B8)/B8</f>
        <v>0.0539473684210526</v>
      </c>
      <c r="D10" s="10">
        <f>(A10*9.8/1000)/(C4)</f>
        <v>81113.8461538462</v>
      </c>
    </row>
    <row r="11" spans="1:4">
      <c r="A11" s="10">
        <v>315.2</v>
      </c>
      <c r="B11" s="10">
        <v>81.4</v>
      </c>
      <c r="C11" s="10">
        <f>(B11-B8)/B8</f>
        <v>0.0710526315789474</v>
      </c>
      <c r="D11" s="10">
        <f>(A11*9.8/1000)/(C4)</f>
        <v>118806.153846154</v>
      </c>
    </row>
    <row r="12" spans="1:4">
      <c r="A12" s="10">
        <v>415.2</v>
      </c>
      <c r="B12" s="10">
        <v>83.2</v>
      </c>
      <c r="C12" s="10">
        <f>(B12-B8)/B8</f>
        <v>0.0947368421052632</v>
      </c>
      <c r="D12" s="10">
        <f>(A12*9.8/1000)/(C4)</f>
        <v>156498.461538462</v>
      </c>
    </row>
    <row r="13" spans="1:4">
      <c r="A13" s="10">
        <v>515.2</v>
      </c>
      <c r="B13" s="10">
        <v>84.1</v>
      </c>
      <c r="C13" s="10">
        <f>(B13-B8)/B8</f>
        <v>0.106578947368421</v>
      </c>
      <c r="D13" s="10">
        <f>(A13*9.8/1000)/(C4)</f>
        <v>194190.769230769</v>
      </c>
    </row>
    <row r="14" spans="1:4">
      <c r="A14" s="10">
        <v>615.2</v>
      </c>
      <c r="B14" s="10">
        <v>87.1</v>
      </c>
      <c r="C14" s="10">
        <f>(B14-B8)/B8</f>
        <v>0.146052631578947</v>
      </c>
      <c r="D14" s="10">
        <f>(A14*9.8/1000)/(C4)</f>
        <v>231883.076923077</v>
      </c>
    </row>
    <row r="15" spans="1:4">
      <c r="A15" s="10">
        <v>715.2</v>
      </c>
      <c r="B15" s="10">
        <v>88</v>
      </c>
      <c r="C15" s="10">
        <f>(B15-B8)/B8</f>
        <v>0.157894736842105</v>
      </c>
      <c r="D15" s="10">
        <f>(A15*9.8/1000)/(C4)</f>
        <v>269575.384615385</v>
      </c>
    </row>
    <row r="16" spans="1:4">
      <c r="A16" s="10">
        <v>815.2</v>
      </c>
      <c r="B16" s="10">
        <v>90.5</v>
      </c>
      <c r="C16" s="10">
        <f>(B16-B8)/B8</f>
        <v>0.190789473684211</v>
      </c>
      <c r="D16" s="10">
        <f>(A16*9.8/1000)/(C4)</f>
        <v>307267.692307692</v>
      </c>
    </row>
    <row r="17" spans="1:4">
      <c r="A17" s="10">
        <v>915.2</v>
      </c>
      <c r="B17" s="10">
        <v>92.3</v>
      </c>
      <c r="C17" s="10">
        <f>(B17-B8)/B8</f>
        <v>0.214473684210526</v>
      </c>
      <c r="D17" s="10">
        <f>(A17*9.8/1000)/(C4)</f>
        <v>344960</v>
      </c>
    </row>
    <row r="18" spans="1:4">
      <c r="A18" s="10">
        <v>1015.2</v>
      </c>
      <c r="B18" s="10">
        <v>94.8</v>
      </c>
      <c r="C18" s="10">
        <f>(B18-B8)/B8</f>
        <v>0.247368421052632</v>
      </c>
      <c r="D18" s="10">
        <f>(A18*9.8/1000)/(C4)</f>
        <v>382652.307692308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33</v>
      </c>
      <c r="C21" s="10">
        <f>SLOPE(D8:D18,C8:C18)</f>
        <v>1592378.22685194</v>
      </c>
    </row>
    <row r="23" spans="2:3">
      <c r="B23">
        <f>STEYX(D8:D18,C8:C18)</f>
        <v>10991.1483078689</v>
      </c>
      <c r="C23">
        <v>1590000</v>
      </c>
    </row>
    <row r="24" spans="2:3">
      <c r="B24">
        <f>1.96*B23</f>
        <v>21542.6506834231</v>
      </c>
      <c r="C24">
        <v>20000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E31"/>
  <sheetViews>
    <sheetView workbookViewId="0">
      <selection activeCell="C21" sqref="C21"/>
    </sheetView>
  </sheetViews>
  <sheetFormatPr defaultColWidth="9" defaultRowHeight="13.8" outlineLevelCol="4"/>
  <cols>
    <col min="1" max="1" width="18.5555555555556" customWidth="1"/>
    <col min="2" max="2" width="21" customWidth="1"/>
    <col min="3" max="3" width="24" customWidth="1"/>
    <col min="4" max="4" width="28.3333333333333" customWidth="1"/>
    <col min="5" max="5" width="12" customWidth="1"/>
    <col min="9" max="11" width="12" customWidth="1"/>
  </cols>
  <sheetData>
    <row r="1" ht="14.4" spans="1:2">
      <c r="A1" s="1" t="s">
        <v>0</v>
      </c>
      <c r="B1" s="2" t="s">
        <v>35</v>
      </c>
    </row>
    <row r="2" ht="14.4" spans="1:5">
      <c r="A2" s="3" t="s">
        <v>2</v>
      </c>
      <c r="B2" s="4"/>
      <c r="E2" s="40"/>
    </row>
    <row r="3" spans="1:5">
      <c r="A3" s="5" t="s">
        <v>3</v>
      </c>
      <c r="B3" s="19">
        <v>13</v>
      </c>
      <c r="C3" s="7" t="s">
        <v>4</v>
      </c>
      <c r="E3" s="40"/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87.9</v>
      </c>
      <c r="C8" s="10">
        <v>0</v>
      </c>
      <c r="D8" s="10">
        <v>0</v>
      </c>
    </row>
    <row r="9" spans="1:4">
      <c r="A9" s="10">
        <v>104.8</v>
      </c>
      <c r="B9" s="10">
        <v>90.2</v>
      </c>
      <c r="C9" s="10">
        <f>(B9-B8)/B8</f>
        <v>0.0261660978384528</v>
      </c>
      <c r="D9" s="10">
        <f>(A9*9.8/1000)/(C4)</f>
        <v>26334.358974359</v>
      </c>
    </row>
    <row r="10" spans="1:4">
      <c r="A10" s="10">
        <v>204.8</v>
      </c>
      <c r="B10" s="10">
        <v>92</v>
      </c>
      <c r="C10" s="10">
        <f>(B10-B8)/B8</f>
        <v>0.0466439135381114</v>
      </c>
      <c r="D10" s="10">
        <f>(A10*9.8/1000)/(C4)</f>
        <v>51462.5641025641</v>
      </c>
    </row>
    <row r="11" spans="1:4">
      <c r="A11" s="10">
        <v>304.8</v>
      </c>
      <c r="B11" s="10">
        <v>95.5</v>
      </c>
      <c r="C11" s="10">
        <f>(B11-B8)/B8</f>
        <v>0.08646188850967</v>
      </c>
      <c r="D11" s="10">
        <f>(A11*9.8/1000)/(C4)</f>
        <v>76590.7692307692</v>
      </c>
    </row>
    <row r="12" spans="1:4">
      <c r="A12" s="10">
        <v>404.8</v>
      </c>
      <c r="B12" s="10">
        <v>98</v>
      </c>
      <c r="C12" s="10">
        <f>(B12-B8)/B8</f>
        <v>0.11490329920364</v>
      </c>
      <c r="D12" s="10">
        <f>(A12*9.8/1000)/(C4)</f>
        <v>101718.974358974</v>
      </c>
    </row>
    <row r="13" spans="1:4">
      <c r="A13" s="10">
        <v>604.8</v>
      </c>
      <c r="B13" s="10">
        <v>100.5</v>
      </c>
      <c r="C13" s="10">
        <f>(B13-B8)/B8</f>
        <v>0.143344709897611</v>
      </c>
      <c r="D13" s="10">
        <f>(A13*9.8/1000)/(C4)</f>
        <v>151975.384615385</v>
      </c>
    </row>
    <row r="14" spans="1:4">
      <c r="A14" s="10">
        <v>804.8</v>
      </c>
      <c r="B14" s="10">
        <v>101.5</v>
      </c>
      <c r="C14" s="10">
        <f>(B14-B8)/B8</f>
        <v>0.154721274175199</v>
      </c>
      <c r="D14" s="10">
        <f>(A14*9.8/1000)/(C4)</f>
        <v>202231.794871795</v>
      </c>
    </row>
    <row r="15" spans="1:4">
      <c r="A15" s="10">
        <v>904.8</v>
      </c>
      <c r="B15" s="10">
        <v>104.9</v>
      </c>
      <c r="C15" s="10">
        <f>(B15-B8)/B8</f>
        <v>0.193401592718999</v>
      </c>
      <c r="D15" s="10">
        <f>(A15*9.8/1000)/(C4)</f>
        <v>227360</v>
      </c>
    </row>
    <row r="16" spans="1:4">
      <c r="A16" s="10">
        <v>1004.8</v>
      </c>
      <c r="B16" s="10">
        <v>107.8</v>
      </c>
      <c r="C16" s="10">
        <f>(B16-B8)/B8</f>
        <v>0.226393629124004</v>
      </c>
      <c r="D16" s="10">
        <f>(A16*9.8/1000)/(C4)</f>
        <v>252488.205128205</v>
      </c>
    </row>
    <row r="17" spans="1:4">
      <c r="A17" s="10">
        <v>1104.8</v>
      </c>
      <c r="B17" s="10">
        <v>110</v>
      </c>
      <c r="C17" s="10">
        <f>(B17-B8)/B8</f>
        <v>0.251422070534698</v>
      </c>
      <c r="D17" s="10">
        <f>(A17*9.8/1000)/(C4)</f>
        <v>277616.41025641</v>
      </c>
    </row>
    <row r="18" spans="1:4">
      <c r="A18" s="10">
        <v>1204.8</v>
      </c>
      <c r="B18" s="10">
        <v>111.7</v>
      </c>
      <c r="C18" s="10">
        <f>(B18-B8)/B8</f>
        <v>0.270762229806598</v>
      </c>
      <c r="D18" s="10">
        <f>(A18*9.8/1000)/(C4)</f>
        <v>302744.615384615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1149274.96484704</v>
      </c>
    </row>
    <row r="23" spans="2:3">
      <c r="B23">
        <f>STEYX(D8:D18,C8:C18)</f>
        <v>15127.4900440601</v>
      </c>
      <c r="C23">
        <v>1150000</v>
      </c>
    </row>
    <row r="24" spans="2:3">
      <c r="B24">
        <f>1.96*B23</f>
        <v>29649.8804863579</v>
      </c>
      <c r="C24">
        <v>30000</v>
      </c>
    </row>
    <row r="30" spans="4:4">
      <c r="D30" t="s">
        <v>36</v>
      </c>
    </row>
    <row r="31" spans="4:5">
      <c r="D31">
        <f>D28*D28</f>
        <v>0</v>
      </c>
      <c r="E31">
        <f>E28*E28</f>
        <v>0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D24"/>
  <sheetViews>
    <sheetView workbookViewId="0">
      <selection activeCell="C21" sqref="C2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37</v>
      </c>
    </row>
    <row r="2" ht="14.4" spans="1:2">
      <c r="A2" s="3" t="s">
        <v>2</v>
      </c>
      <c r="B2" s="4"/>
    </row>
    <row r="3" spans="1:3">
      <c r="A3" s="5" t="s">
        <v>3</v>
      </c>
      <c r="B3" s="19">
        <v>13.1</v>
      </c>
      <c r="C3" s="7" t="s">
        <v>4</v>
      </c>
    </row>
    <row r="4" spans="1:3">
      <c r="A4" s="8" t="s">
        <v>5</v>
      </c>
      <c r="B4" s="9">
        <v>2.8</v>
      </c>
      <c r="C4" s="10">
        <f>(B3/1000)*(B4/1000)</f>
        <v>3.668e-5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9">
        <v>0</v>
      </c>
      <c r="B8" s="39">
        <v>68.8</v>
      </c>
      <c r="C8" s="10">
        <v>0</v>
      </c>
      <c r="D8" s="10">
        <v>0</v>
      </c>
    </row>
    <row r="9" spans="1:4">
      <c r="A9" s="39">
        <v>15.3</v>
      </c>
      <c r="B9" s="39">
        <v>69.8</v>
      </c>
      <c r="C9" s="10">
        <f>(B9-B8)/B8</f>
        <v>0.0145348837209302</v>
      </c>
      <c r="D9" s="10">
        <f>(A9*9.8/1000)/(C4)</f>
        <v>4087.78625954199</v>
      </c>
    </row>
    <row r="10" spans="1:4">
      <c r="A10" s="39">
        <v>215.3</v>
      </c>
      <c r="B10" s="39">
        <v>72.5</v>
      </c>
      <c r="C10" s="10">
        <f>(B10-B8)/B8</f>
        <v>0.0537790697674419</v>
      </c>
      <c r="D10" s="10">
        <f>(A10*9.8/1000)/(C4)</f>
        <v>57522.9007633588</v>
      </c>
    </row>
    <row r="11" spans="1:4">
      <c r="A11" s="39">
        <v>315.3</v>
      </c>
      <c r="B11" s="39">
        <v>74.8</v>
      </c>
      <c r="C11" s="10">
        <f>(B11-B8)/B8</f>
        <v>0.0872093023255814</v>
      </c>
      <c r="D11" s="10">
        <f>(A11*9.8/1000)/(C4)</f>
        <v>84240.4580152672</v>
      </c>
    </row>
    <row r="12" spans="1:4">
      <c r="A12" s="39">
        <v>515.3</v>
      </c>
      <c r="B12" s="39">
        <v>78</v>
      </c>
      <c r="C12" s="10">
        <f>(B12-B8)/B8</f>
        <v>0.133720930232558</v>
      </c>
      <c r="D12" s="10">
        <f>(A12*9.8/1000)/(C4)</f>
        <v>137675.572519084</v>
      </c>
    </row>
    <row r="13" spans="1:4">
      <c r="A13" s="39">
        <v>615.3</v>
      </c>
      <c r="B13" s="39">
        <v>79.8</v>
      </c>
      <c r="C13" s="10">
        <f>(B13-B8)/B8</f>
        <v>0.159883720930233</v>
      </c>
      <c r="D13" s="10">
        <f>(A13*9.8/1000)/(C4)</f>
        <v>164393.129770992</v>
      </c>
    </row>
    <row r="14" spans="1:4">
      <c r="A14" s="39">
        <v>715.3</v>
      </c>
      <c r="B14" s="39">
        <v>81.6</v>
      </c>
      <c r="C14" s="10">
        <f>(B14-B8)/B8</f>
        <v>0.186046511627907</v>
      </c>
      <c r="D14" s="10">
        <f>(A14*9.8/1000)/(C4)</f>
        <v>191110.687022901</v>
      </c>
    </row>
    <row r="15" spans="1:4">
      <c r="A15" s="39">
        <v>815.3</v>
      </c>
      <c r="B15" s="39">
        <v>83</v>
      </c>
      <c r="C15" s="10">
        <f>(B15-B8)/B8</f>
        <v>0.206395348837209</v>
      </c>
      <c r="D15" s="10">
        <f>(A15*9.8/1000)/(C4)</f>
        <v>217828.244274809</v>
      </c>
    </row>
    <row r="16" spans="1:4">
      <c r="A16" s="39">
        <v>915.3</v>
      </c>
      <c r="B16" s="39">
        <v>84.9</v>
      </c>
      <c r="C16" s="10">
        <f>(B16-B8)/B8</f>
        <v>0.234011627906977</v>
      </c>
      <c r="D16" s="10">
        <f>(A16*9.8/1000)/(C4)</f>
        <v>244545.801526718</v>
      </c>
    </row>
    <row r="17" spans="1:4">
      <c r="A17" s="39">
        <v>929.9</v>
      </c>
      <c r="B17" s="39">
        <v>86.2</v>
      </c>
      <c r="C17" s="10">
        <f>(B17-B8)/B8</f>
        <v>0.252906976744186</v>
      </c>
      <c r="D17" s="10">
        <f>(A17*9.8/1000)/(C4)</f>
        <v>248446.564885496</v>
      </c>
    </row>
    <row r="18" spans="1:4">
      <c r="A18" s="39">
        <v>1029.9</v>
      </c>
      <c r="B18" s="39">
        <v>87.6</v>
      </c>
      <c r="C18" s="10">
        <f>(B18-B8)/B8</f>
        <v>0.273255813953488</v>
      </c>
      <c r="D18" s="10">
        <f>(A18*9.8/1000)/(C4)</f>
        <v>275164.122137405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1030726.65979971</v>
      </c>
    </row>
    <row r="23" spans="2:3">
      <c r="B23">
        <f>STEYX(D8:D18,C8:C18)</f>
        <v>5992.29757946341</v>
      </c>
      <c r="C23">
        <v>1030000</v>
      </c>
    </row>
    <row r="24" spans="2:3">
      <c r="B24">
        <f>1.96*B23</f>
        <v>11744.9032557483</v>
      </c>
      <c r="C24">
        <v>10000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D24"/>
  <sheetViews>
    <sheetView workbookViewId="0">
      <selection activeCell="I31" sqref="I31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38</v>
      </c>
    </row>
    <row r="2" ht="14.4" spans="1:2">
      <c r="A2" s="3" t="s">
        <v>2</v>
      </c>
      <c r="B2" s="4"/>
    </row>
    <row r="3" spans="1:3">
      <c r="A3" s="5" t="s">
        <v>3</v>
      </c>
      <c r="B3" s="19">
        <v>13.1</v>
      </c>
      <c r="C3" s="7" t="s">
        <v>4</v>
      </c>
    </row>
    <row r="4" spans="1:3">
      <c r="A4" s="8" t="s">
        <v>5</v>
      </c>
      <c r="B4" s="9">
        <v>2.1</v>
      </c>
      <c r="C4" s="10">
        <f>(B3/1000)*(B4/1000)</f>
        <v>2.751e-5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6">
        <v>0</v>
      </c>
      <c r="B8" s="36">
        <v>69</v>
      </c>
      <c r="C8" s="10">
        <v>0</v>
      </c>
      <c r="D8" s="10">
        <v>0</v>
      </c>
    </row>
    <row r="9" spans="1:4">
      <c r="A9" s="38">
        <v>15.4</v>
      </c>
      <c r="B9" s="30">
        <v>69.5</v>
      </c>
      <c r="C9" s="10">
        <f>(B9-B8)/B8</f>
        <v>0.0072463768115942</v>
      </c>
      <c r="D9" s="10">
        <f>(A9*9.8/1000)/(C4)</f>
        <v>5486.00508905852</v>
      </c>
    </row>
    <row r="10" spans="1:4">
      <c r="A10" s="38">
        <v>36.2</v>
      </c>
      <c r="B10" s="30">
        <v>69.8</v>
      </c>
      <c r="C10" s="10">
        <f>(B10-B8)/B8</f>
        <v>0.0115942028985507</v>
      </c>
      <c r="D10" s="10">
        <f>(A10*9.8/1000)/(C4)</f>
        <v>12895.6743002545</v>
      </c>
    </row>
    <row r="11" spans="1:4">
      <c r="A11" s="30">
        <v>86.2</v>
      </c>
      <c r="B11" s="30">
        <v>70.1</v>
      </c>
      <c r="C11" s="10">
        <f>(B11-B8)/B8</f>
        <v>0.0159420289855072</v>
      </c>
      <c r="D11" s="10">
        <f>(A11*9.8/1000)/(C4)</f>
        <v>30707.37913486</v>
      </c>
    </row>
    <row r="12" spans="1:4">
      <c r="A12" s="30">
        <v>136.2</v>
      </c>
      <c r="B12" s="30">
        <v>71</v>
      </c>
      <c r="C12" s="10">
        <f>(B12-B8)/B8</f>
        <v>0.0289855072463768</v>
      </c>
      <c r="D12" s="10">
        <f>(A12*9.8/1000)/(C4)</f>
        <v>48519.0839694656</v>
      </c>
    </row>
    <row r="13" spans="1:4">
      <c r="A13" s="30">
        <v>186.2</v>
      </c>
      <c r="B13" s="30">
        <v>71.8</v>
      </c>
      <c r="C13" s="10">
        <f>(B13-B8)/B8</f>
        <v>0.0405797101449275</v>
      </c>
      <c r="D13" s="10">
        <f>(A13*9.8/1000)/(C4)</f>
        <v>66330.7888040712</v>
      </c>
    </row>
    <row r="14" spans="1:4">
      <c r="A14" s="30">
        <v>236.2</v>
      </c>
      <c r="B14" s="30">
        <v>72.5</v>
      </c>
      <c r="C14" s="10">
        <f>(B14-B8)/B8</f>
        <v>0.0507246376811594</v>
      </c>
      <c r="D14" s="10">
        <f>(A14*9.8/1000)/(C4)</f>
        <v>84142.4936386768</v>
      </c>
    </row>
    <row r="15" spans="1:4">
      <c r="A15" s="30">
        <v>286.2</v>
      </c>
      <c r="B15" s="30">
        <v>73.8</v>
      </c>
      <c r="C15" s="10">
        <f>(B15-B8)/B8</f>
        <v>0.0695652173913043</v>
      </c>
      <c r="D15" s="10">
        <f>(A15*9.8/1000)/(C4)</f>
        <v>101954.198473282</v>
      </c>
    </row>
    <row r="16" spans="1:4">
      <c r="A16" s="30">
        <v>336.2</v>
      </c>
      <c r="B16" s="30">
        <v>75</v>
      </c>
      <c r="C16" s="10">
        <f>(B16-B8)/B8</f>
        <v>0.0869565217391304</v>
      </c>
      <c r="D16" s="10">
        <f>(A16*9.8/1000)/(C4)</f>
        <v>119765.903307888</v>
      </c>
    </row>
    <row r="17" spans="1:4">
      <c r="A17" s="30">
        <v>436.2</v>
      </c>
      <c r="B17" s="30">
        <v>76.5</v>
      </c>
      <c r="C17" s="10">
        <f>(B17-B8)/B8</f>
        <v>0.108695652173913</v>
      </c>
      <c r="D17" s="10">
        <f>(A17*9.8/1000)/(C4)</f>
        <v>155389.312977099</v>
      </c>
    </row>
    <row r="18" spans="1:4">
      <c r="A18" s="30">
        <v>536.2</v>
      </c>
      <c r="B18" s="30">
        <v>79</v>
      </c>
      <c r="C18" s="10">
        <f>(B18-B8)/B8</f>
        <v>0.144927536231884</v>
      </c>
      <c r="D18" s="10">
        <f>(A18*9.8/1000)/(C4)</f>
        <v>191012.72264631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1346348.37368701</v>
      </c>
    </row>
    <row r="23" spans="2:3">
      <c r="B23">
        <f>STEYX(D8:D18,C8:C18)</f>
        <v>7354.22681315528</v>
      </c>
      <c r="C23">
        <v>1350000</v>
      </c>
    </row>
    <row r="24" spans="2:3">
      <c r="B24">
        <f>1.96*B23</f>
        <v>14414.2845537843</v>
      </c>
      <c r="C24">
        <v>10000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39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1.8</v>
      </c>
      <c r="C4" s="10">
        <f>(B3/1000)*(B4/1000)</f>
        <v>2.34e-5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71</v>
      </c>
      <c r="C8" s="22">
        <v>0</v>
      </c>
      <c r="D8" s="22">
        <v>0</v>
      </c>
    </row>
    <row r="9" spans="1:4">
      <c r="A9" s="10">
        <v>15.2</v>
      </c>
      <c r="B9" s="10">
        <v>71</v>
      </c>
      <c r="C9" s="22">
        <f>(B9-B8)/B8</f>
        <v>0</v>
      </c>
      <c r="D9" s="22">
        <f>(A9*9.8/1000)/(C4)</f>
        <v>6365.81196581197</v>
      </c>
    </row>
    <row r="10" spans="1:4">
      <c r="A10" s="10">
        <v>115.2</v>
      </c>
      <c r="B10" s="10">
        <v>73</v>
      </c>
      <c r="C10" s="10">
        <f>(B10-B8)/B8</f>
        <v>0.028169014084507</v>
      </c>
      <c r="D10" s="10">
        <f>(A10*9.8/1000)/(C4)</f>
        <v>48246.1538461538</v>
      </c>
    </row>
    <row r="11" spans="1:4">
      <c r="A11" s="10">
        <v>215.2</v>
      </c>
      <c r="B11" s="10">
        <v>76</v>
      </c>
      <c r="C11" s="10">
        <f>(B11-B8)/B8</f>
        <v>0.0704225352112676</v>
      </c>
      <c r="D11" s="10">
        <f>(A11*9.8/1000)/(C4)</f>
        <v>90126.4957264957</v>
      </c>
    </row>
    <row r="12" spans="1:4">
      <c r="A12" s="10">
        <v>315.2</v>
      </c>
      <c r="B12" s="10">
        <v>78</v>
      </c>
      <c r="C12" s="10">
        <f>(B12-B8)/B8</f>
        <v>0.0985915492957746</v>
      </c>
      <c r="D12" s="10">
        <f>(A12*9.8/1000)/(C4)</f>
        <v>132006.837606838</v>
      </c>
    </row>
    <row r="13" spans="1:4">
      <c r="A13" s="10">
        <v>515.2</v>
      </c>
      <c r="B13" s="10">
        <v>83</v>
      </c>
      <c r="C13" s="10">
        <f>(B13-B8)/B8</f>
        <v>0.169014084507042</v>
      </c>
      <c r="D13" s="10">
        <f>(A13*9.8/1000)/(C4)</f>
        <v>215767.521367521</v>
      </c>
    </row>
    <row r="14" spans="1:4">
      <c r="A14" s="10">
        <v>715.2</v>
      </c>
      <c r="B14" s="10">
        <v>88</v>
      </c>
      <c r="C14" s="10">
        <f>(B14-B8)/B8</f>
        <v>0.23943661971831</v>
      </c>
      <c r="D14" s="10">
        <f>(A14*9.8/1000)/(C4)</f>
        <v>299528.205128205</v>
      </c>
    </row>
    <row r="15" spans="1:4">
      <c r="A15" s="10">
        <v>815.2</v>
      </c>
      <c r="B15" s="10">
        <v>89</v>
      </c>
      <c r="C15" s="10">
        <f>(B15-B8)/B8</f>
        <v>0.253521126760563</v>
      </c>
      <c r="D15" s="10">
        <f>(A15*9.8/1000)/(C4)</f>
        <v>341408.547008547</v>
      </c>
    </row>
    <row r="16" spans="1:4">
      <c r="A16" s="10">
        <v>915.2</v>
      </c>
      <c r="B16" s="10">
        <v>92</v>
      </c>
      <c r="C16" s="10">
        <f>(B16-B8)/B8</f>
        <v>0.295774647887324</v>
      </c>
      <c r="D16" s="10">
        <f>(A16*9.8/1000)/(C4)</f>
        <v>383288.888888889</v>
      </c>
    </row>
    <row r="17" spans="1:4">
      <c r="A17" s="10">
        <v>1015.2</v>
      </c>
      <c r="B17" s="10">
        <v>96</v>
      </c>
      <c r="C17" s="10">
        <f>(B17-B8)/B8</f>
        <v>0.352112676056338</v>
      </c>
      <c r="D17" s="10">
        <f>(A17*9.8/1000)/(C4)</f>
        <v>425169.230769231</v>
      </c>
    </row>
    <row r="18" spans="1:4">
      <c r="A18" s="10">
        <v>1225.2</v>
      </c>
      <c r="B18" s="10">
        <v>100</v>
      </c>
      <c r="C18" s="10">
        <f>(B18-B8)/B8</f>
        <v>0.408450704225352</v>
      </c>
      <c r="D18" s="10">
        <f>(A18*9.8/1000)/(C4)</f>
        <v>513117.948717949</v>
      </c>
    </row>
    <row r="20" spans="1:3">
      <c r="A20" s="7" t="s">
        <v>12</v>
      </c>
      <c r="B20" s="10" t="s">
        <v>22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1238740.5718422</v>
      </c>
    </row>
    <row r="23" spans="2:3">
      <c r="B23">
        <f>STEYX(D8:D18,C8:C18)</f>
        <v>10361.5921810924</v>
      </c>
      <c r="C23">
        <v>1240000</v>
      </c>
    </row>
    <row r="24" spans="2:3">
      <c r="B24">
        <f>1.96*B23</f>
        <v>20308.7206749412</v>
      </c>
      <c r="C24">
        <v>20000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40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72</v>
      </c>
      <c r="C8" s="22">
        <v>0</v>
      </c>
      <c r="D8" s="22">
        <v>0</v>
      </c>
    </row>
    <row r="9" spans="1:4">
      <c r="A9" s="10">
        <v>21</v>
      </c>
      <c r="B9" s="10">
        <v>72</v>
      </c>
      <c r="C9" s="22">
        <f>(B9-B8)/B8</f>
        <v>0</v>
      </c>
      <c r="D9" s="22">
        <f>(A9*9.8/1000)/(C4)</f>
        <v>6332.30769230769</v>
      </c>
    </row>
    <row r="10" spans="1:4">
      <c r="A10" s="10">
        <v>121</v>
      </c>
      <c r="B10" s="10">
        <v>73.5</v>
      </c>
      <c r="C10" s="10">
        <f>(B10-B8)/B8</f>
        <v>0.0208333333333333</v>
      </c>
      <c r="D10" s="10">
        <f>(A10*9.8/1000)/(C4)</f>
        <v>36486.1538461539</v>
      </c>
    </row>
    <row r="11" spans="1:4">
      <c r="A11" s="10">
        <v>221</v>
      </c>
      <c r="B11" s="10">
        <v>74.5</v>
      </c>
      <c r="C11" s="10">
        <f>(B11-B8)/B8</f>
        <v>0.0347222222222222</v>
      </c>
      <c r="D11" s="10">
        <f>(A11*9.8/1000)/(C4)</f>
        <v>66640</v>
      </c>
    </row>
    <row r="12" spans="1:4">
      <c r="A12" s="10">
        <v>321</v>
      </c>
      <c r="B12" s="10">
        <v>76</v>
      </c>
      <c r="C12" s="10">
        <f>(B12-B8)/B8</f>
        <v>0.0555555555555556</v>
      </c>
      <c r="D12" s="10">
        <f>(A12*9.8/1000)/(C4)</f>
        <v>96793.8461538462</v>
      </c>
    </row>
    <row r="13" spans="1:4">
      <c r="A13" s="10">
        <v>421</v>
      </c>
      <c r="B13" s="10">
        <v>77</v>
      </c>
      <c r="C13" s="10">
        <f>(B13-B8)/B8</f>
        <v>0.0694444444444444</v>
      </c>
      <c r="D13" s="10">
        <f>(A13*9.8/1000)/(C4)</f>
        <v>126947.692307692</v>
      </c>
    </row>
    <row r="14" spans="1:4">
      <c r="A14" s="10">
        <v>521</v>
      </c>
      <c r="B14" s="10">
        <v>78</v>
      </c>
      <c r="C14" s="10">
        <f>(B14-B8)/B8</f>
        <v>0.0833333333333333</v>
      </c>
      <c r="D14" s="10">
        <f>(A14*9.8/1000)/(C4)</f>
        <v>157101.538461538</v>
      </c>
    </row>
    <row r="15" spans="1:4">
      <c r="A15" s="10">
        <v>571</v>
      </c>
      <c r="B15" s="10">
        <v>78.5</v>
      </c>
      <c r="C15" s="10">
        <f>(B15-B8)/B8</f>
        <v>0.0902777777777778</v>
      </c>
      <c r="D15" s="10">
        <f>(A15*9.8/1000)/(C4)</f>
        <v>172178.461538462</v>
      </c>
    </row>
    <row r="16" spans="1:4">
      <c r="A16" s="10">
        <v>621</v>
      </c>
      <c r="B16" s="10">
        <v>79</v>
      </c>
      <c r="C16" s="10">
        <f>(B16-B8)/B8</f>
        <v>0.0972222222222222</v>
      </c>
      <c r="D16" s="10">
        <f>(A16*9.8/1000)/(C4)</f>
        <v>187255.384615385</v>
      </c>
    </row>
    <row r="17" spans="1:4">
      <c r="A17" s="10">
        <v>671</v>
      </c>
      <c r="B17" s="10">
        <v>80</v>
      </c>
      <c r="C17" s="10">
        <f>(B17-B8)/B8</f>
        <v>0.111111111111111</v>
      </c>
      <c r="D17" s="10">
        <f>(A17*9.8/1000)/(C4)</f>
        <v>202332.307692308</v>
      </c>
    </row>
    <row r="18" spans="1:4">
      <c r="A18" s="10">
        <v>721</v>
      </c>
      <c r="B18" s="10">
        <v>81</v>
      </c>
      <c r="C18" s="10">
        <f>(B18-B8)/B8</f>
        <v>0.125</v>
      </c>
      <c r="D18" s="10">
        <f>(A18*9.8/1000)/(C4)</f>
        <v>217409.230769231</v>
      </c>
    </row>
    <row r="20" spans="1:3">
      <c r="A20" s="7" t="s">
        <v>12</v>
      </c>
      <c r="B20" s="10" t="s">
        <v>22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1802542.0979021</v>
      </c>
    </row>
    <row r="23" spans="2:3">
      <c r="B23">
        <f>STEYX(D8:D18,C8:C18)</f>
        <v>6115.70641468534</v>
      </c>
      <c r="C23">
        <v>1800000</v>
      </c>
    </row>
    <row r="24" spans="2:3">
      <c r="B24">
        <f>1.96*B23</f>
        <v>11986.7845727833</v>
      </c>
      <c r="C24">
        <v>10000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41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2.3</v>
      </c>
      <c r="C4" s="10">
        <f>(B3/1000)*(B4/1000)</f>
        <v>2.99e-5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68</v>
      </c>
      <c r="C8" s="22">
        <v>0</v>
      </c>
      <c r="D8" s="22">
        <v>0</v>
      </c>
    </row>
    <row r="9" spans="1:4">
      <c r="A9" s="10">
        <v>4.9</v>
      </c>
      <c r="B9" s="10">
        <v>68</v>
      </c>
      <c r="C9" s="22">
        <f>(B9-B8)/B8</f>
        <v>0</v>
      </c>
      <c r="D9" s="22">
        <f>(A9*9.8/1000)/(C4)</f>
        <v>1606.02006688963</v>
      </c>
    </row>
    <row r="10" spans="1:4">
      <c r="A10" s="10">
        <v>104.9</v>
      </c>
      <c r="B10" s="10">
        <v>69</v>
      </c>
      <c r="C10" s="10">
        <f>(B10-B8)/B8</f>
        <v>0.0147058823529412</v>
      </c>
      <c r="D10" s="10">
        <f>(A10*9.8/1000)/(C4)</f>
        <v>34381.9397993311</v>
      </c>
    </row>
    <row r="11" spans="1:4">
      <c r="A11" s="10">
        <v>204.9</v>
      </c>
      <c r="B11" s="10">
        <v>70</v>
      </c>
      <c r="C11" s="10">
        <f>(B11-B8)/B8</f>
        <v>0.0294117647058824</v>
      </c>
      <c r="D11" s="10">
        <f>(A11*9.8/1000)/(C4)</f>
        <v>67157.8595317726</v>
      </c>
    </row>
    <row r="12" spans="1:4">
      <c r="A12" s="10">
        <v>404.9</v>
      </c>
      <c r="B12" s="10">
        <v>71.5</v>
      </c>
      <c r="C12" s="10">
        <f>(B12-B8)/B8</f>
        <v>0.0514705882352941</v>
      </c>
      <c r="D12" s="10">
        <f>(A12*9.8/1000)/(C4)</f>
        <v>132709.698996656</v>
      </c>
    </row>
    <row r="13" spans="1:4">
      <c r="A13" s="10">
        <v>504.9</v>
      </c>
      <c r="B13" s="10">
        <v>73</v>
      </c>
      <c r="C13" s="10">
        <f>(B13-B8)/B8</f>
        <v>0.0735294117647059</v>
      </c>
      <c r="D13" s="10">
        <f>(A13*9.8/1000)/(C4)</f>
        <v>165485.618729097</v>
      </c>
    </row>
    <row r="14" spans="1:4">
      <c r="A14" s="10">
        <v>604.9</v>
      </c>
      <c r="B14" s="29">
        <v>75</v>
      </c>
      <c r="C14" s="10">
        <f>(B14-B8)/B8</f>
        <v>0.102941176470588</v>
      </c>
      <c r="D14" s="10">
        <f>(A14*9.8/1000)/(C4)</f>
        <v>198261.538461538</v>
      </c>
    </row>
    <row r="15" spans="1:4">
      <c r="A15" s="10">
        <v>704.9</v>
      </c>
      <c r="B15" s="29">
        <v>75.2</v>
      </c>
      <c r="C15" s="10">
        <f>(B15-B8)/B8</f>
        <v>0.105882352941177</v>
      </c>
      <c r="D15" s="10">
        <f>(A15*9.8/1000)/(C4)</f>
        <v>231037.45819398</v>
      </c>
    </row>
    <row r="16" spans="1:4">
      <c r="A16" s="10">
        <v>804.9</v>
      </c>
      <c r="B16" s="29">
        <v>76</v>
      </c>
      <c r="C16" s="10">
        <f>(B16-B8)/B8</f>
        <v>0.117647058823529</v>
      </c>
      <c r="D16" s="10">
        <f>(A16*9.8/1000)/(C4)</f>
        <v>263813.377926421</v>
      </c>
    </row>
    <row r="17" spans="1:4">
      <c r="A17" s="10">
        <v>854.9</v>
      </c>
      <c r="B17" s="29">
        <v>76.1</v>
      </c>
      <c r="C17" s="10">
        <f>(B17-B8)/B8</f>
        <v>0.119117647058823</v>
      </c>
      <c r="D17" s="10">
        <f>(A17*9.8/1000)/(C4)</f>
        <v>280201.337792642</v>
      </c>
    </row>
    <row r="18" spans="1:4">
      <c r="A18" s="10">
        <v>904.9</v>
      </c>
      <c r="B18" s="10">
        <v>77</v>
      </c>
      <c r="C18" s="10">
        <f>(B18-B8)/B8</f>
        <v>0.132352941176471</v>
      </c>
      <c r="D18" s="10">
        <f>(A18*9.8/1000)/(C4)</f>
        <v>296589.297658863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42</v>
      </c>
      <c r="C21" s="10">
        <f>SLOPE(D8:D18,C8:C18)</f>
        <v>2194361.55131295</v>
      </c>
    </row>
    <row r="23" spans="2:3">
      <c r="B23">
        <f>STEYX(D8:D18,C8:C18)</f>
        <v>12986.6683627686</v>
      </c>
      <c r="C23">
        <v>2190000</v>
      </c>
    </row>
    <row r="24" spans="2:3">
      <c r="B24">
        <f>1.96*B23</f>
        <v>25453.8699910264</v>
      </c>
      <c r="C24">
        <v>30000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D24"/>
  <sheetViews>
    <sheetView topLeftCell="A4" workbookViewId="0">
      <selection activeCell="C13" sqref="C13:C16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43</v>
      </c>
    </row>
    <row r="2" ht="14.4" spans="1:2">
      <c r="A2" s="3" t="s">
        <v>2</v>
      </c>
      <c r="B2" s="4"/>
    </row>
    <row r="3" spans="1:3">
      <c r="A3" s="5" t="s">
        <v>3</v>
      </c>
      <c r="B3" s="19">
        <v>12.5</v>
      </c>
      <c r="C3" s="7" t="s">
        <v>4</v>
      </c>
    </row>
    <row r="4" spans="1:3">
      <c r="A4" s="8" t="s">
        <v>5</v>
      </c>
      <c r="B4" s="9">
        <v>2.7</v>
      </c>
      <c r="C4" s="10">
        <f>(B3/1000)*(B4/1000)</f>
        <v>3.375e-5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70</v>
      </c>
      <c r="C8" s="10">
        <v>0</v>
      </c>
      <c r="D8" s="10">
        <v>0</v>
      </c>
    </row>
    <row r="9" spans="1:4">
      <c r="A9" s="10">
        <v>55</v>
      </c>
      <c r="B9" s="10">
        <v>70.3</v>
      </c>
      <c r="C9" s="10">
        <f>(B9-B8)/B8</f>
        <v>0.00428571428571425</v>
      </c>
      <c r="D9" s="10">
        <f>(A9*9.8/1000)/(C4)</f>
        <v>15970.3703703704</v>
      </c>
    </row>
    <row r="10" spans="1:4">
      <c r="A10" s="10">
        <v>105</v>
      </c>
      <c r="B10" s="10">
        <v>71</v>
      </c>
      <c r="C10" s="10">
        <f>(B10-B8)/B8</f>
        <v>0.0142857142857143</v>
      </c>
      <c r="D10" s="10">
        <f>(A10*9.8/1000)/(C4)</f>
        <v>30488.8888888889</v>
      </c>
    </row>
    <row r="11" spans="1:4">
      <c r="A11" s="10">
        <v>205</v>
      </c>
      <c r="B11" s="10">
        <v>73.5</v>
      </c>
      <c r="C11" s="10">
        <f>(B11-B8)/B8</f>
        <v>0.05</v>
      </c>
      <c r="D11" s="10">
        <f>(A11*9.8/1000)/(C4)</f>
        <v>59525.9259259259</v>
      </c>
    </row>
    <row r="12" spans="1:4">
      <c r="A12" s="10">
        <v>305</v>
      </c>
      <c r="B12" s="10">
        <v>75.5</v>
      </c>
      <c r="C12" s="10">
        <f>(B12-B8)/B8</f>
        <v>0.0785714285714286</v>
      </c>
      <c r="D12" s="10">
        <f>(A12*9.8/1000)/(C4)</f>
        <v>88562.962962963</v>
      </c>
    </row>
    <row r="13" spans="1:4">
      <c r="A13" s="10">
        <v>355</v>
      </c>
      <c r="B13" s="10">
        <v>76</v>
      </c>
      <c r="C13" s="22">
        <f>(B13-B8)/B8</f>
        <v>0.0857142857142857</v>
      </c>
      <c r="D13" s="10">
        <f>(A13*9.8/1000)/(C4)</f>
        <v>103081.481481481</v>
      </c>
    </row>
    <row r="14" spans="1:4">
      <c r="A14" s="10">
        <v>405</v>
      </c>
      <c r="B14" s="10">
        <v>76.5</v>
      </c>
      <c r="C14" s="22">
        <f>(B14-B8)/B8</f>
        <v>0.0928571428571429</v>
      </c>
      <c r="D14" s="10">
        <f>(A14*9.8/1000)/(C4)</f>
        <v>117600</v>
      </c>
    </row>
    <row r="15" spans="1:4">
      <c r="A15" s="10">
        <v>455</v>
      </c>
      <c r="B15" s="10">
        <v>77</v>
      </c>
      <c r="C15" s="22">
        <f>(B15-B8)/B8</f>
        <v>0.1</v>
      </c>
      <c r="D15" s="10">
        <f>(A15*9.8/1000)/(C4)</f>
        <v>132118.518518519</v>
      </c>
    </row>
    <row r="16" spans="1:4">
      <c r="A16" s="10">
        <v>505</v>
      </c>
      <c r="B16" s="10">
        <v>77.5</v>
      </c>
      <c r="C16" s="22">
        <f>(B16-B8)/B8</f>
        <v>0.107142857142857</v>
      </c>
      <c r="D16" s="10">
        <f>(A16*9.8/1000)/(C4)</f>
        <v>146637.037037037</v>
      </c>
    </row>
    <row r="17" spans="1:4">
      <c r="A17" s="10">
        <v>555</v>
      </c>
      <c r="B17" s="10">
        <v>80</v>
      </c>
      <c r="C17" s="10">
        <f>(B17-B8)/B8</f>
        <v>0.142857142857143</v>
      </c>
      <c r="D17" s="10">
        <f>(A17*9.8/1000)/(C4)</f>
        <v>161155.555555556</v>
      </c>
    </row>
    <row r="18" spans="1:4">
      <c r="A18" s="10">
        <v>601.1</v>
      </c>
      <c r="B18" s="10">
        <v>81.3</v>
      </c>
      <c r="C18" s="10">
        <f>(B18-B8)/B8</f>
        <v>0.161428571428571</v>
      </c>
      <c r="D18" s="10">
        <f>(A18*9.8/1000)/(C4)</f>
        <v>174541.62962963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1097940.66159592</v>
      </c>
    </row>
    <row r="23" spans="2:3">
      <c r="B23">
        <f>STEYX(D8:D18,C8:C18)</f>
        <v>10286.7548454812</v>
      </c>
      <c r="C23">
        <v>1100000</v>
      </c>
    </row>
    <row r="24" spans="2:3">
      <c r="B24">
        <f>1.96*B23</f>
        <v>20162.0394971431</v>
      </c>
      <c r="C24">
        <v>20000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D24"/>
  <sheetViews>
    <sheetView topLeftCell="A4" workbookViewId="0">
      <selection activeCell="C15" sqref="C15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44</v>
      </c>
    </row>
    <row r="2" ht="14.4" spans="1:2">
      <c r="A2" s="3" t="s">
        <v>2</v>
      </c>
      <c r="B2" s="4"/>
    </row>
    <row r="3" spans="1:3">
      <c r="A3" s="5" t="s">
        <v>3</v>
      </c>
      <c r="B3" s="19">
        <v>13.1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3.93e-5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88</v>
      </c>
      <c r="C8" s="10">
        <v>0</v>
      </c>
      <c r="D8" s="10">
        <v>0</v>
      </c>
    </row>
    <row r="9" spans="1:4">
      <c r="A9" s="10">
        <v>104.9</v>
      </c>
      <c r="B9" s="10">
        <v>91</v>
      </c>
      <c r="C9" s="10">
        <f>(B9-B8)/B8</f>
        <v>0.0340909090909091</v>
      </c>
      <c r="D9" s="10">
        <f>(A9*9.8/1000)/(C4)</f>
        <v>26158.2697201018</v>
      </c>
    </row>
    <row r="10" spans="1:4">
      <c r="A10" s="10">
        <v>204.9</v>
      </c>
      <c r="B10" s="10">
        <v>92</v>
      </c>
      <c r="C10" s="10">
        <f>(B10-B8)/B8</f>
        <v>0.0454545454545455</v>
      </c>
      <c r="D10" s="10">
        <f>(A10*9.8/1000)/(C4)</f>
        <v>51094.6564885496</v>
      </c>
    </row>
    <row r="11" spans="1:4">
      <c r="A11" s="10">
        <v>304.9</v>
      </c>
      <c r="B11" s="10">
        <v>94</v>
      </c>
      <c r="C11" s="10">
        <f>(B11-B8)/B8</f>
        <v>0.0681818181818182</v>
      </c>
      <c r="D11" s="10">
        <f>(A11*9.8/1000)/(C4)</f>
        <v>76031.0432569975</v>
      </c>
    </row>
    <row r="12" spans="1:4">
      <c r="A12" s="10">
        <v>404.9</v>
      </c>
      <c r="B12" s="10">
        <v>96</v>
      </c>
      <c r="C12" s="10">
        <f>(B12-B8)/B8</f>
        <v>0.0909090909090909</v>
      </c>
      <c r="D12" s="10">
        <f>(A12*9.8/1000)/(C4)</f>
        <v>100967.430025445</v>
      </c>
    </row>
    <row r="13" spans="1:4">
      <c r="A13" s="10">
        <v>504.9</v>
      </c>
      <c r="B13" s="10">
        <v>97</v>
      </c>
      <c r="C13" s="10">
        <f>(B13-B8)/B8</f>
        <v>0.102272727272727</v>
      </c>
      <c r="D13" s="10">
        <f>(A13*9.8/1000)/(C4)</f>
        <v>125903.816793893</v>
      </c>
    </row>
    <row r="14" spans="1:4">
      <c r="A14" s="10">
        <v>604.9</v>
      </c>
      <c r="B14" s="10">
        <v>100</v>
      </c>
      <c r="C14" s="10">
        <f>(B14-B8)/B8</f>
        <v>0.136363636363636</v>
      </c>
      <c r="D14" s="10">
        <f>(A14*9.8/1000)/(C4)</f>
        <v>150840.203562341</v>
      </c>
    </row>
    <row r="15" spans="1:4">
      <c r="A15" s="10">
        <v>704.9</v>
      </c>
      <c r="B15" s="10">
        <v>102.5</v>
      </c>
      <c r="C15" s="10">
        <f>(B15-B8)/B8</f>
        <v>0.164772727272727</v>
      </c>
      <c r="D15" s="10">
        <f>(A15*9.8/1000)/(C4)</f>
        <v>175776.590330789</v>
      </c>
    </row>
    <row r="16" spans="1:4">
      <c r="A16" s="10">
        <v>904.9</v>
      </c>
      <c r="B16" s="10">
        <v>107.5</v>
      </c>
      <c r="C16" s="10">
        <f>(B16-B8)/B8</f>
        <v>0.221590909090909</v>
      </c>
      <c r="D16" s="10">
        <f>(A16*9.8/1000)/(C4)</f>
        <v>225649.363867684</v>
      </c>
    </row>
    <row r="17" spans="1:4">
      <c r="A17" s="10">
        <v>1004.9</v>
      </c>
      <c r="B17" s="10">
        <v>109.5</v>
      </c>
      <c r="C17" s="10">
        <f>(B17-B8)/B8</f>
        <v>0.244318181818182</v>
      </c>
      <c r="D17" s="10">
        <f>(A17*9.8/1000)/(C4)</f>
        <v>250585.750636132</v>
      </c>
    </row>
    <row r="18" spans="1:4">
      <c r="A18" s="10">
        <v>1104.9</v>
      </c>
      <c r="B18" s="10">
        <v>111.5</v>
      </c>
      <c r="C18" s="10">
        <f>(B18-B8)/B8</f>
        <v>0.267045454545455</v>
      </c>
      <c r="D18" s="10">
        <f>(A18*9.8/1000)/(C4)</f>
        <v>275522.13740458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1023488.09943237</v>
      </c>
    </row>
    <row r="23" spans="2:3">
      <c r="B23">
        <f>STEYX(D8:D18,C8:C18)</f>
        <v>8134.08804227503</v>
      </c>
      <c r="C23">
        <v>1020000</v>
      </c>
    </row>
    <row r="24" spans="2:3">
      <c r="B24">
        <f>1.96*B23</f>
        <v>15942.8125628591</v>
      </c>
      <c r="C24">
        <v>20000</v>
      </c>
    </row>
  </sheetData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D24"/>
  <sheetViews>
    <sheetView workbookViewId="0">
      <selection activeCell="C12" sqref="C1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45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6">
        <v>0</v>
      </c>
      <c r="B8" s="37">
        <v>74.2</v>
      </c>
      <c r="C8" s="10">
        <v>0</v>
      </c>
      <c r="D8" s="10">
        <v>0</v>
      </c>
    </row>
    <row r="9" spans="1:4">
      <c r="A9" s="30">
        <v>20.9</v>
      </c>
      <c r="B9" s="36">
        <v>74.8</v>
      </c>
      <c r="C9" s="10">
        <f>(B9-B8)/B8</f>
        <v>0.00808625336927216</v>
      </c>
      <c r="D9" s="10">
        <f>(A9*9.8/1000)/(C4)</f>
        <v>7877.69230769231</v>
      </c>
    </row>
    <row r="10" spans="1:4">
      <c r="A10" s="30">
        <v>36.3</v>
      </c>
      <c r="B10" s="30">
        <v>75</v>
      </c>
      <c r="C10" s="10">
        <f>(B10-B8)/B8</f>
        <v>0.0107816711590296</v>
      </c>
      <c r="D10" s="10">
        <f>(A10*9.8/1000)/(C4)</f>
        <v>13682.3076923077</v>
      </c>
    </row>
    <row r="11" spans="1:4">
      <c r="A11" s="30">
        <v>86.3</v>
      </c>
      <c r="B11" s="30">
        <v>76</v>
      </c>
      <c r="C11" s="10">
        <f>(B11-B8)/B8</f>
        <v>0.0242587601078167</v>
      </c>
      <c r="D11" s="10">
        <f>(A11*9.8/1000)/(C4)</f>
        <v>32528.4615384615</v>
      </c>
    </row>
    <row r="12" spans="1:4">
      <c r="A12" s="30">
        <v>136.3</v>
      </c>
      <c r="B12" s="30">
        <v>76.5</v>
      </c>
      <c r="C12" s="10">
        <f>(B12-B8)/B8</f>
        <v>0.0309973045822102</v>
      </c>
      <c r="D12" s="10">
        <f>(A12*9.8/1000)/(C4)</f>
        <v>51374.6153846154</v>
      </c>
    </row>
    <row r="13" spans="1:4">
      <c r="A13" s="30">
        <v>186.3</v>
      </c>
      <c r="B13" s="30">
        <v>78</v>
      </c>
      <c r="C13" s="10">
        <f>(B13-B8)/B8</f>
        <v>0.0512129380053908</v>
      </c>
      <c r="D13" s="10">
        <f>(A13*9.8/1000)/(C4)</f>
        <v>70220.7692307692</v>
      </c>
    </row>
    <row r="14" spans="1:4">
      <c r="A14" s="30">
        <v>236.3</v>
      </c>
      <c r="B14" s="30">
        <v>79</v>
      </c>
      <c r="C14" s="10">
        <f>(B14-B8)/B8</f>
        <v>0.0646900269541779</v>
      </c>
      <c r="D14" s="10">
        <f>(A14*9.8/1000)/(C4)</f>
        <v>89066.9230769231</v>
      </c>
    </row>
    <row r="15" spans="1:4">
      <c r="A15" s="30">
        <v>286.3</v>
      </c>
      <c r="B15" s="30">
        <v>79.6</v>
      </c>
      <c r="C15" s="10">
        <f>(B15-B8)/B8</f>
        <v>0.07277628032345</v>
      </c>
      <c r="D15" s="10">
        <f>(A15*9.8/1000)/(C4)</f>
        <v>107913.076923077</v>
      </c>
    </row>
    <row r="16" spans="1:4">
      <c r="A16" s="30">
        <v>336.3</v>
      </c>
      <c r="B16" s="30">
        <v>81.6</v>
      </c>
      <c r="C16" s="10">
        <f>(B16-B8)/B8</f>
        <v>0.0997304582210241</v>
      </c>
      <c r="D16" s="10">
        <f>(A16*9.8/1000)/(C4)</f>
        <v>126759.230769231</v>
      </c>
    </row>
    <row r="17" spans="1:4">
      <c r="A17" s="30">
        <v>386.3</v>
      </c>
      <c r="B17" s="30">
        <v>81.9</v>
      </c>
      <c r="C17" s="10">
        <f>(B17-B8)/B8</f>
        <v>0.10377358490566</v>
      </c>
      <c r="D17" s="10">
        <f>(A17*9.8/1000)/(C4)</f>
        <v>145605.384615385</v>
      </c>
    </row>
    <row r="18" spans="1:4">
      <c r="A18" s="30">
        <v>486.3</v>
      </c>
      <c r="B18" s="30">
        <v>83.8</v>
      </c>
      <c r="C18" s="10">
        <f>(B18-B8)/B8</f>
        <v>0.129380053908356</v>
      </c>
      <c r="D18" s="10">
        <f>(A18*9.8/1000)/(C4)</f>
        <v>183297.692307692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1387986.57613752</v>
      </c>
    </row>
    <row r="23" spans="2:3">
      <c r="B23">
        <f>STEYX(D8:D18,C8:C18)</f>
        <v>5626.64084824105</v>
      </c>
      <c r="C23">
        <v>1390000</v>
      </c>
    </row>
    <row r="24" spans="2:3">
      <c r="B24">
        <f>1.96*B23</f>
        <v>11028.2160625524</v>
      </c>
      <c r="C24">
        <v>10000</v>
      </c>
    </row>
  </sheetData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46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1.8</v>
      </c>
      <c r="C4" s="10">
        <f>(B3/1000)*(B4/1000)</f>
        <v>2.34e-5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72</v>
      </c>
      <c r="C8" s="22">
        <v>0</v>
      </c>
      <c r="D8" s="22">
        <v>0</v>
      </c>
    </row>
    <row r="9" spans="1:4">
      <c r="A9" s="10">
        <v>15.4</v>
      </c>
      <c r="B9" s="10">
        <v>72</v>
      </c>
      <c r="C9" s="22">
        <f>(B9-B8)/B8</f>
        <v>0</v>
      </c>
      <c r="D9" s="22">
        <f>(A9*9.8/1000)/(C4)</f>
        <v>6449.57264957265</v>
      </c>
    </row>
    <row r="10" spans="1:4">
      <c r="A10" s="10">
        <v>115.4</v>
      </c>
      <c r="B10" s="10">
        <v>75</v>
      </c>
      <c r="C10" s="10">
        <f>(B10-B8)/B8</f>
        <v>0.0416666666666667</v>
      </c>
      <c r="D10" s="10">
        <f>(A10*9.8/1000)/(C4)</f>
        <v>48329.9145299145</v>
      </c>
    </row>
    <row r="11" spans="1:4">
      <c r="A11" s="10">
        <v>215.4</v>
      </c>
      <c r="B11" s="10">
        <v>77</v>
      </c>
      <c r="C11" s="10">
        <f>(B11-B8)/B8</f>
        <v>0.0694444444444444</v>
      </c>
      <c r="D11" s="10">
        <f>(A11*9.8/1000)/(C4)</f>
        <v>90210.2564102564</v>
      </c>
    </row>
    <row r="12" spans="1:4">
      <c r="A12" s="10">
        <v>315.4</v>
      </c>
      <c r="B12" s="10">
        <v>79</v>
      </c>
      <c r="C12" s="10">
        <f>(B12-B8)/B8</f>
        <v>0.0972222222222222</v>
      </c>
      <c r="D12" s="10">
        <f>(A12*9.8/1000)/(C4)</f>
        <v>132090.598290598</v>
      </c>
    </row>
    <row r="13" spans="1:4">
      <c r="A13" s="10">
        <v>415.4</v>
      </c>
      <c r="B13" s="10">
        <v>83</v>
      </c>
      <c r="C13" s="10">
        <f>(B13-B8)/B8</f>
        <v>0.152777777777778</v>
      </c>
      <c r="D13" s="10">
        <f>(A13*9.8/1000)/(C4)</f>
        <v>173970.94017094</v>
      </c>
    </row>
    <row r="14" spans="1:4">
      <c r="A14" s="10">
        <v>515.4</v>
      </c>
      <c r="B14" s="10">
        <v>87</v>
      </c>
      <c r="C14" s="10">
        <f>(B14-B8)/B8</f>
        <v>0.208333333333333</v>
      </c>
      <c r="D14" s="10">
        <f>(A14*9.8/1000)/(C4)</f>
        <v>215851.282051282</v>
      </c>
    </row>
    <row r="15" spans="1:4">
      <c r="A15" s="10">
        <v>715.4</v>
      </c>
      <c r="B15" s="10">
        <v>94</v>
      </c>
      <c r="C15" s="10">
        <f>(B15-B8)/B8</f>
        <v>0.305555555555556</v>
      </c>
      <c r="D15" s="10">
        <f>(A15*9.8/1000)/(C4)</f>
        <v>299611.965811966</v>
      </c>
    </row>
    <row r="16" spans="1:4">
      <c r="A16" s="10">
        <v>765.4</v>
      </c>
      <c r="B16" s="10">
        <v>96</v>
      </c>
      <c r="C16" s="10">
        <f>(B16-B8)/B8</f>
        <v>0.333333333333333</v>
      </c>
      <c r="D16" s="10">
        <f>(A16*9.8/1000)/(C4)</f>
        <v>320552.136752137</v>
      </c>
    </row>
    <row r="17" spans="1:4">
      <c r="A17" s="10">
        <v>865.4</v>
      </c>
      <c r="B17" s="10">
        <v>100</v>
      </c>
      <c r="C17" s="10">
        <f>(B17-B8)/B8</f>
        <v>0.388888888888889</v>
      </c>
      <c r="D17" s="10">
        <f>(A17*9.8/1000)/(C4)</f>
        <v>362432.478632479</v>
      </c>
    </row>
    <row r="18" spans="1:4">
      <c r="A18" s="10">
        <v>965.4</v>
      </c>
      <c r="B18" s="10">
        <v>104</v>
      </c>
      <c r="C18" s="10">
        <f>(B18-B8)/B8</f>
        <v>0.444444444444444</v>
      </c>
      <c r="D18" s="10">
        <f>(A18*9.8/1000)/(C4)</f>
        <v>404312.820512821</v>
      </c>
    </row>
    <row r="20" spans="1:3">
      <c r="A20" s="7" t="s">
        <v>12</v>
      </c>
      <c r="B20" s="10" t="s">
        <v>22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896744.280361472</v>
      </c>
    </row>
    <row r="23" spans="2:3">
      <c r="B23">
        <f>STEYX(D8:D18,C8:C18)</f>
        <v>14884.2004672946</v>
      </c>
      <c r="C23">
        <v>900000</v>
      </c>
    </row>
    <row r="24" spans="2:3">
      <c r="B24">
        <f>1.96*B23</f>
        <v>29173.0329158973</v>
      </c>
      <c r="C24">
        <v>30000</v>
      </c>
    </row>
  </sheetData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D24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47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69</v>
      </c>
      <c r="C8" s="10">
        <v>0</v>
      </c>
      <c r="D8" s="10">
        <v>0</v>
      </c>
    </row>
    <row r="9" spans="1:4">
      <c r="A9" s="10">
        <v>105</v>
      </c>
      <c r="B9" s="10">
        <v>71</v>
      </c>
      <c r="C9" s="10">
        <f>(B9-B8)/B8</f>
        <v>0.0289855072463768</v>
      </c>
      <c r="D9" s="10">
        <f>(A9*9.8/1000)/(C4)</f>
        <v>31661.5384615385</v>
      </c>
    </row>
    <row r="10" spans="1:4">
      <c r="A10" s="10">
        <v>205</v>
      </c>
      <c r="B10" s="10">
        <v>72</v>
      </c>
      <c r="C10" s="10">
        <f>(B10-B8)/B8</f>
        <v>0.0434782608695652</v>
      </c>
      <c r="D10" s="10">
        <f>(A10*9.8/1000)/(C4)</f>
        <v>61815.3846153846</v>
      </c>
    </row>
    <row r="11" spans="1:4">
      <c r="A11" s="10">
        <v>305</v>
      </c>
      <c r="B11" s="10">
        <v>74</v>
      </c>
      <c r="C11" s="10">
        <f>(B11-B8)/B8</f>
        <v>0.072463768115942</v>
      </c>
      <c r="D11" s="10">
        <f>(A11*9.8/1000)/(C4)</f>
        <v>91969.2307692308</v>
      </c>
    </row>
    <row r="12" spans="1:4">
      <c r="A12" s="10">
        <v>405</v>
      </c>
      <c r="B12" s="10">
        <v>77</v>
      </c>
      <c r="C12" s="10">
        <f>(B12-B8)/B8</f>
        <v>0.115942028985507</v>
      </c>
      <c r="D12" s="10">
        <f>(A12*9.8/1000)/(C4)</f>
        <v>122123.076923077</v>
      </c>
    </row>
    <row r="13" spans="1:4">
      <c r="A13" s="10">
        <v>505</v>
      </c>
      <c r="B13" s="10">
        <v>79</v>
      </c>
      <c r="C13" s="10">
        <f>(B13-B8)/B8</f>
        <v>0.144927536231884</v>
      </c>
      <c r="D13" s="10">
        <f>(A13*9.8/1000)/(C4)</f>
        <v>152276.923076923</v>
      </c>
    </row>
    <row r="14" spans="1:4">
      <c r="A14" s="10">
        <v>605</v>
      </c>
      <c r="B14" s="10">
        <v>81</v>
      </c>
      <c r="C14" s="10">
        <f>(B14-B8)/B8</f>
        <v>0.173913043478261</v>
      </c>
      <c r="D14" s="10">
        <f>(A14*9.8/1000)/(C4)</f>
        <v>182430.769230769</v>
      </c>
    </row>
    <row r="15" spans="1:4">
      <c r="A15" s="10">
        <v>705</v>
      </c>
      <c r="B15" s="10">
        <v>82</v>
      </c>
      <c r="C15" s="10">
        <f>(B15-B8)/B8</f>
        <v>0.188405797101449</v>
      </c>
      <c r="D15" s="10">
        <f>(A15*9.8/1000)/(C4)</f>
        <v>212584.615384615</v>
      </c>
    </row>
    <row r="16" spans="1:4">
      <c r="A16" s="10">
        <v>805</v>
      </c>
      <c r="B16" s="10">
        <v>85</v>
      </c>
      <c r="C16" s="10">
        <f>(B16-B8)/B8</f>
        <v>0.231884057971014</v>
      </c>
      <c r="D16" s="10">
        <f>(A16*9.8/1000)/(C4)</f>
        <v>242738.461538462</v>
      </c>
    </row>
    <row r="17" spans="1:4">
      <c r="A17" s="10">
        <v>905</v>
      </c>
      <c r="B17" s="10">
        <v>87</v>
      </c>
      <c r="C17" s="10">
        <f>(B17-B8)/B8</f>
        <v>0.260869565217391</v>
      </c>
      <c r="D17" s="10">
        <f>(A17*9.8/1000)/(C4)</f>
        <v>272892.307692308</v>
      </c>
    </row>
    <row r="18" spans="1:4">
      <c r="A18" s="10">
        <v>1105</v>
      </c>
      <c r="B18" s="10">
        <v>91</v>
      </c>
      <c r="C18" s="10">
        <f>(B18-B8)/B8</f>
        <v>0.318840579710145</v>
      </c>
      <c r="D18" s="10">
        <f>(A18*9.8/1000)/(C4)</f>
        <v>333200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1024176.0989011</v>
      </c>
    </row>
    <row r="23" spans="2:3">
      <c r="B23">
        <f>STEYX(D8:D18,C8:C18)</f>
        <v>7326.91264552721</v>
      </c>
      <c r="C23">
        <v>1020000</v>
      </c>
    </row>
    <row r="24" spans="2:3">
      <c r="B24">
        <f>1.96*B23</f>
        <v>14360.7487852333</v>
      </c>
      <c r="C24">
        <v>10000</v>
      </c>
    </row>
  </sheetData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D24"/>
  <sheetViews>
    <sheetView workbookViewId="0">
      <selection activeCell="A8" sqref="A8:B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48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2.4</v>
      </c>
      <c r="C4" s="10">
        <f>(B3/1000)*(B4/1000)</f>
        <v>3.12e-5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5">
        <v>0</v>
      </c>
      <c r="B8" s="35">
        <v>79.5</v>
      </c>
      <c r="C8" s="10">
        <v>0</v>
      </c>
      <c r="D8" s="10">
        <v>0</v>
      </c>
    </row>
    <row r="9" spans="1:4">
      <c r="A9" s="22">
        <v>4.9</v>
      </c>
      <c r="B9" s="22">
        <v>79.6</v>
      </c>
      <c r="C9" s="10">
        <f>(B9-B8)/B8</f>
        <v>0.00125786163522005</v>
      </c>
      <c r="D9" s="10">
        <f>(A9*9.8/1000)/(C4)</f>
        <v>1539.10256410256</v>
      </c>
    </row>
    <row r="10" spans="1:4">
      <c r="A10" s="10">
        <v>54.9</v>
      </c>
      <c r="B10" s="10">
        <v>80.6</v>
      </c>
      <c r="C10" s="10">
        <f>(B10-B8)/B8</f>
        <v>0.0138364779874213</v>
      </c>
      <c r="D10" s="10">
        <f>(A10*9.8/1000)/(C4)</f>
        <v>17244.2307692308</v>
      </c>
    </row>
    <row r="11" spans="1:4">
      <c r="A11" s="10">
        <v>104.9</v>
      </c>
      <c r="B11" s="10">
        <v>81.2</v>
      </c>
      <c r="C11" s="10">
        <f>(B11-B8)/B8</f>
        <v>0.0213836477987422</v>
      </c>
      <c r="D11" s="10">
        <f>(A11*9.8/1000)/(C4)</f>
        <v>32949.358974359</v>
      </c>
    </row>
    <row r="12" spans="1:4">
      <c r="A12" s="10">
        <v>154.9</v>
      </c>
      <c r="B12" s="10">
        <v>82.4</v>
      </c>
      <c r="C12" s="10">
        <f>(B12-B8)/B8</f>
        <v>0.0364779874213837</v>
      </c>
      <c r="D12" s="10">
        <f>(A12*9.8/1000)/(C4)</f>
        <v>48654.4871794872</v>
      </c>
    </row>
    <row r="13" spans="1:4">
      <c r="A13" s="10">
        <v>204.9</v>
      </c>
      <c r="B13" s="10">
        <v>83.5</v>
      </c>
      <c r="C13" s="10">
        <f>(B13-B8)/B8</f>
        <v>0.050314465408805</v>
      </c>
      <c r="D13" s="10">
        <f>(A13*9.8/1000)/(C4)</f>
        <v>64359.6153846154</v>
      </c>
    </row>
    <row r="14" spans="1:4">
      <c r="A14" s="10">
        <v>404.9</v>
      </c>
      <c r="B14" s="10">
        <v>87.5</v>
      </c>
      <c r="C14" s="10">
        <f>(B14-B8)/B8</f>
        <v>0.10062893081761</v>
      </c>
      <c r="D14" s="10">
        <f>(A14*9.8/1000)/(C4)</f>
        <v>127180.128205128</v>
      </c>
    </row>
    <row r="15" spans="1:4">
      <c r="A15" s="10">
        <v>454.9</v>
      </c>
      <c r="B15" s="10">
        <v>88.3</v>
      </c>
      <c r="C15" s="10">
        <f>(B15-B8)/B8</f>
        <v>0.110691823899371</v>
      </c>
      <c r="D15" s="10">
        <f>(A15*9.8/1000)/(C4)</f>
        <v>142885.256410256</v>
      </c>
    </row>
    <row r="16" spans="1:4">
      <c r="A16" s="10">
        <v>554.9</v>
      </c>
      <c r="B16" s="10">
        <v>90.8</v>
      </c>
      <c r="C16" s="10">
        <f>(B16-B8)/B8</f>
        <v>0.142138364779874</v>
      </c>
      <c r="D16" s="10">
        <f>(A16*9.8/1000)/(C4)</f>
        <v>174295.512820513</v>
      </c>
    </row>
    <row r="17" spans="1:4">
      <c r="A17" s="10">
        <v>604.9</v>
      </c>
      <c r="B17" s="10">
        <v>92</v>
      </c>
      <c r="C17" s="10">
        <f>(B17-B8)/B8</f>
        <v>0.157232704402516</v>
      </c>
      <c r="D17" s="10">
        <f>(A17*9.8/1000)/(C4)</f>
        <v>190000.641025641</v>
      </c>
    </row>
    <row r="18" spans="1:4">
      <c r="A18" s="10">
        <v>654.9</v>
      </c>
      <c r="B18" s="10">
        <v>93.2</v>
      </c>
      <c r="C18" s="10">
        <f>(B18-B8)/B8</f>
        <v>0.172327044025157</v>
      </c>
      <c r="D18" s="10">
        <f>(A18*9.8/1000)/(C4)</f>
        <v>205705.769230769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1202870.42627809</v>
      </c>
    </row>
    <row r="23" spans="2:3">
      <c r="B23">
        <f>STEYX(D8:D18,C8:C18)</f>
        <v>3739.30972835524</v>
      </c>
      <c r="C23">
        <v>1203000</v>
      </c>
    </row>
    <row r="24" spans="2:3">
      <c r="B24">
        <f>1.96*B23</f>
        <v>7329.04706757626</v>
      </c>
      <c r="C24">
        <v>10000</v>
      </c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D24"/>
  <sheetViews>
    <sheetView workbookViewId="0">
      <selection activeCell="A9" sqref="A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49</v>
      </c>
    </row>
    <row r="2" ht="14.4" spans="1:2">
      <c r="A2" s="3" t="s">
        <v>2</v>
      </c>
      <c r="B2" s="4"/>
    </row>
    <row r="3" spans="1:3">
      <c r="A3" s="5" t="s">
        <v>3</v>
      </c>
      <c r="B3" s="19">
        <v>9</v>
      </c>
      <c r="C3" s="7" t="s">
        <v>4</v>
      </c>
    </row>
    <row r="4" spans="1:3">
      <c r="A4" s="8" t="s">
        <v>5</v>
      </c>
      <c r="B4" s="9">
        <v>3.1</v>
      </c>
      <c r="C4" s="10">
        <f>(B3/1000)*(B4/1000)</f>
        <v>2.79e-5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75</v>
      </c>
      <c r="C8" s="10">
        <v>0</v>
      </c>
      <c r="D8" s="10">
        <v>0</v>
      </c>
    </row>
    <row r="9" spans="1:4">
      <c r="A9" s="22">
        <v>15.8</v>
      </c>
      <c r="B9" s="10">
        <v>77.5</v>
      </c>
      <c r="C9" s="10">
        <f>(B9-B8)/B8</f>
        <v>0.0333333333333333</v>
      </c>
      <c r="D9" s="10">
        <f>(A9*9.8/1000)/(C4)</f>
        <v>5549.82078853047</v>
      </c>
    </row>
    <row r="10" spans="1:4">
      <c r="A10" s="10">
        <v>66.2</v>
      </c>
      <c r="B10" s="10">
        <v>81.5</v>
      </c>
      <c r="C10" s="10">
        <f>(B10-B8)/B8</f>
        <v>0.0866666666666667</v>
      </c>
      <c r="D10" s="10">
        <f>(A10*9.8/1000)/(C4)</f>
        <v>23253.0465949821</v>
      </c>
    </row>
    <row r="11" spans="1:4">
      <c r="A11" s="10">
        <v>116.2</v>
      </c>
      <c r="B11" s="10">
        <v>86.5</v>
      </c>
      <c r="C11" s="10">
        <f>(B11-B8)/B8</f>
        <v>0.153333333333333</v>
      </c>
      <c r="D11" s="10">
        <f>(A11*9.8/1000)/(C4)</f>
        <v>40815.770609319</v>
      </c>
    </row>
    <row r="12" spans="1:4">
      <c r="A12" s="10">
        <v>166.2</v>
      </c>
      <c r="B12" s="10">
        <v>90.7</v>
      </c>
      <c r="C12" s="10">
        <f>(B12-B8)/B8</f>
        <v>0.209333333333333</v>
      </c>
      <c r="D12" s="10">
        <f>(A12*9.8/1000)/(C4)</f>
        <v>58378.4946236559</v>
      </c>
    </row>
    <row r="13" spans="1:4">
      <c r="A13" s="10">
        <v>216.2</v>
      </c>
      <c r="B13" s="10">
        <v>97.6</v>
      </c>
      <c r="C13" s="10">
        <f>(B13-B8)/B8</f>
        <v>0.301333333333333</v>
      </c>
      <c r="D13" s="10">
        <f>(A13*9.8/1000)/(C4)</f>
        <v>75941.2186379929</v>
      </c>
    </row>
    <row r="14" spans="1:4">
      <c r="A14" s="10">
        <v>316.2</v>
      </c>
      <c r="B14" s="10">
        <v>110</v>
      </c>
      <c r="C14" s="10">
        <f>(B14-B8)/B8</f>
        <v>0.466666666666667</v>
      </c>
      <c r="D14" s="10">
        <f>(A14*9.8/1000)/(C4)</f>
        <v>111066.666666667</v>
      </c>
    </row>
    <row r="15" spans="1:4">
      <c r="A15" s="10">
        <v>366.2</v>
      </c>
      <c r="B15" s="10">
        <v>114.5</v>
      </c>
      <c r="C15" s="10">
        <f>(B15-B8)/B8</f>
        <v>0.526666666666667</v>
      </c>
      <c r="D15" s="10">
        <f>(A15*9.8/1000)/(C4)</f>
        <v>128629.390681004</v>
      </c>
    </row>
    <row r="16" spans="1:4">
      <c r="A16" s="10">
        <v>416.2</v>
      </c>
      <c r="B16" s="10">
        <v>121.5</v>
      </c>
      <c r="C16" s="10">
        <f>(B16-B8)/B8</f>
        <v>0.62</v>
      </c>
      <c r="D16" s="10">
        <f>(A16*9.8/1000)/(C4)</f>
        <v>146192.114695341</v>
      </c>
    </row>
    <row r="17" spans="1:4">
      <c r="A17" s="10">
        <v>431.6</v>
      </c>
      <c r="B17" s="10">
        <v>124.9</v>
      </c>
      <c r="C17" s="10">
        <f>(B17-B8)/B8</f>
        <v>0.665333333333333</v>
      </c>
      <c r="D17" s="10">
        <f>(A17*9.8/1000)/(C4)</f>
        <v>151601.433691756</v>
      </c>
    </row>
    <row r="18" spans="1:4">
      <c r="A18" s="10">
        <v>452.4</v>
      </c>
      <c r="B18" s="10">
        <v>127.5</v>
      </c>
      <c r="C18" s="10">
        <f>(B18-B8)/B8</f>
        <v>0.7</v>
      </c>
      <c r="D18" s="10">
        <f>(A18*9.8/1000)/(C4)</f>
        <v>158907.52688172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228219.247471866</v>
      </c>
    </row>
    <row r="23" spans="2:3">
      <c r="B23">
        <f>STEYX(D8:D18,C8:C18)</f>
        <v>4363.74496653243</v>
      </c>
      <c r="C23">
        <v>228000</v>
      </c>
    </row>
    <row r="24" spans="2:3">
      <c r="B24">
        <f>1.96*B23</f>
        <v>8552.94013440356</v>
      </c>
      <c r="C24">
        <v>10000</v>
      </c>
    </row>
  </sheetData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50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1" t="s">
        <v>51</v>
      </c>
      <c r="B8" s="21">
        <v>81.5</v>
      </c>
      <c r="C8" s="22">
        <v>0</v>
      </c>
      <c r="D8" s="22">
        <v>0</v>
      </c>
    </row>
    <row r="9" spans="1:4">
      <c r="A9" s="34" t="s">
        <v>52</v>
      </c>
      <c r="B9" s="21" t="s">
        <v>53</v>
      </c>
      <c r="C9" s="22">
        <f>(B9-B8)/B8</f>
        <v>0</v>
      </c>
      <c r="D9" s="22">
        <f>(A9*9.8/1000)/(C4)</f>
        <v>1256.41025641026</v>
      </c>
    </row>
    <row r="10" spans="1:4">
      <c r="A10" s="34" t="s">
        <v>54</v>
      </c>
      <c r="B10" s="34" t="s">
        <v>55</v>
      </c>
      <c r="C10" s="10">
        <f>(B10-B8)/B8</f>
        <v>0.0269938650306749</v>
      </c>
      <c r="D10" s="10">
        <f>(A10*9.8/1000)/(C4)</f>
        <v>51512.8205128205</v>
      </c>
    </row>
    <row r="11" spans="1:4">
      <c r="A11" s="34" t="s">
        <v>56</v>
      </c>
      <c r="B11" s="34" t="s">
        <v>57</v>
      </c>
      <c r="C11" s="10">
        <f>(B11-B8)/B8</f>
        <v>0.049079754601227</v>
      </c>
      <c r="D11" s="10">
        <f>(A11*9.8/1000)/(C4)</f>
        <v>101769.230769231</v>
      </c>
    </row>
    <row r="12" spans="1:4">
      <c r="A12" s="34" t="s">
        <v>58</v>
      </c>
      <c r="B12" s="34" t="s">
        <v>59</v>
      </c>
      <c r="C12" s="10">
        <f>(B12-B8)/B8</f>
        <v>0.0601226993865031</v>
      </c>
      <c r="D12" s="10">
        <f>(A12*9.8/1000)/(C4)</f>
        <v>126897.435897436</v>
      </c>
    </row>
    <row r="13" spans="1:4">
      <c r="A13" s="34" t="s">
        <v>60</v>
      </c>
      <c r="B13" s="34" t="s">
        <v>61</v>
      </c>
      <c r="C13" s="10">
        <f>(B13-B8)/B8</f>
        <v>0.0736196319018405</v>
      </c>
      <c r="D13" s="10">
        <f>(A13*9.8/1000)/(C4)</f>
        <v>152025.641025641</v>
      </c>
    </row>
    <row r="14" spans="1:4">
      <c r="A14" s="34" t="s">
        <v>62</v>
      </c>
      <c r="B14" s="34" t="s">
        <v>63</v>
      </c>
      <c r="C14" s="10">
        <f>(B14-B8)/B8</f>
        <v>0.104294478527607</v>
      </c>
      <c r="D14" s="10">
        <f>(A14*9.8/1000)/(C4)</f>
        <v>202282.051282051</v>
      </c>
    </row>
    <row r="15" spans="1:4">
      <c r="A15" s="34" t="s">
        <v>64</v>
      </c>
      <c r="B15" s="34" t="s">
        <v>65</v>
      </c>
      <c r="C15" s="10">
        <f>(B15-B8)/B8</f>
        <v>0.130061349693251</v>
      </c>
      <c r="D15" s="10">
        <f>(A15*9.8/1000)/(C4)</f>
        <v>252538.461538462</v>
      </c>
    </row>
    <row r="16" spans="1:4">
      <c r="A16" s="34" t="s">
        <v>66</v>
      </c>
      <c r="B16" s="34" t="s">
        <v>67</v>
      </c>
      <c r="C16" s="10">
        <f>(B16-B8)/B8</f>
        <v>0.155828220858896</v>
      </c>
      <c r="D16" s="10">
        <f>(A16*9.8/1000)/(C4)</f>
        <v>302794.871794872</v>
      </c>
    </row>
    <row r="17" spans="1:4">
      <c r="A17" s="34" t="s">
        <v>68</v>
      </c>
      <c r="B17" s="34" t="s">
        <v>69</v>
      </c>
      <c r="C17" s="10">
        <f>(B17-B8)/B8</f>
        <v>0.166871165644172</v>
      </c>
      <c r="D17" s="10">
        <f>(A17*9.8/1000)/(C4)</f>
        <v>327923.076923077</v>
      </c>
    </row>
    <row r="18" spans="1:4">
      <c r="A18" s="34" t="s">
        <v>70</v>
      </c>
      <c r="B18" s="34" t="s">
        <v>71</v>
      </c>
      <c r="C18" s="10">
        <f>(B18-B8)/B8</f>
        <v>0.176687116564417</v>
      </c>
      <c r="D18" s="10">
        <f>(A18*9.8/1000)/(C4)</f>
        <v>353051.282051282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1955203.79214153</v>
      </c>
    </row>
    <row r="23" spans="2:3">
      <c r="B23">
        <f>STEYX(D8:D18,C8:C18)</f>
        <v>4619.01832609415</v>
      </c>
      <c r="C23">
        <v>1955000</v>
      </c>
    </row>
    <row r="24" spans="2:3">
      <c r="B24">
        <f>1.96*B23</f>
        <v>9053.27591914454</v>
      </c>
      <c r="C24">
        <v>10000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D24"/>
  <sheetViews>
    <sheetView topLeftCell="A2" workbookViewId="0">
      <selection activeCell="C14" sqref="C1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72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53</v>
      </c>
      <c r="C8" s="10">
        <v>0</v>
      </c>
      <c r="D8" s="10">
        <v>0</v>
      </c>
    </row>
    <row r="9" spans="1:4">
      <c r="A9" s="10">
        <v>204.9</v>
      </c>
      <c r="B9" s="10">
        <v>56</v>
      </c>
      <c r="C9" s="10">
        <f>(B9-B8)/B8</f>
        <v>0.0566037735849057</v>
      </c>
      <c r="D9" s="10">
        <f>(A9*9.8/1000)/(C4)</f>
        <v>51487.6923076923</v>
      </c>
    </row>
    <row r="10" spans="1:4">
      <c r="A10" s="10">
        <v>404.9</v>
      </c>
      <c r="B10" s="10">
        <v>57</v>
      </c>
      <c r="C10" s="10">
        <f>(B10-B8)/B8</f>
        <v>0.0754716981132075</v>
      </c>
      <c r="D10" s="10">
        <f>(A10*9.8/1000)/(C4)</f>
        <v>101744.102564103</v>
      </c>
    </row>
    <row r="11" spans="1:4">
      <c r="A11" s="10">
        <v>604.9</v>
      </c>
      <c r="B11" s="10">
        <v>58</v>
      </c>
      <c r="C11" s="10">
        <f>(B11-B8)/B8</f>
        <v>0.0943396226415094</v>
      </c>
      <c r="D11" s="10">
        <f>(A11*9.8/1000)/(C4)</f>
        <v>152000.512820513</v>
      </c>
    </row>
    <row r="12" spans="1:4">
      <c r="A12" s="10">
        <v>704.9</v>
      </c>
      <c r="B12" s="10">
        <v>60</v>
      </c>
      <c r="C12" s="32">
        <f>(B12-B8)/B8</f>
        <v>0.132075471698113</v>
      </c>
      <c r="D12" s="10">
        <f>(A12*9.8/1000)/(C4)</f>
        <v>177128.717948718</v>
      </c>
    </row>
    <row r="13" spans="1:4">
      <c r="A13" s="10">
        <v>804.9</v>
      </c>
      <c r="B13" s="10">
        <v>60</v>
      </c>
      <c r="C13" s="32">
        <f>(B13-B8)/B8</f>
        <v>0.132075471698113</v>
      </c>
      <c r="D13" s="10">
        <f>(A13*9.8/1000)/(C4)</f>
        <v>202256.923076923</v>
      </c>
    </row>
    <row r="14" spans="1:4">
      <c r="A14" s="10">
        <v>904.9</v>
      </c>
      <c r="B14" s="10">
        <v>61</v>
      </c>
      <c r="C14" s="10">
        <f>(B14-B8)/B8</f>
        <v>0.150943396226415</v>
      </c>
      <c r="D14" s="10">
        <f>(A14*9.8/1000)/(C4)</f>
        <v>227385.128205128</v>
      </c>
    </row>
    <row r="15" spans="1:4">
      <c r="A15" s="10">
        <v>1004.9</v>
      </c>
      <c r="B15" s="10">
        <v>62</v>
      </c>
      <c r="C15" s="10">
        <f>(B15-B8)/B8</f>
        <v>0.169811320754717</v>
      </c>
      <c r="D15" s="10">
        <f>(A15*9.8/1000)/(C4)</f>
        <v>252513.333333333</v>
      </c>
    </row>
    <row r="16" spans="1:4">
      <c r="A16" s="10">
        <v>1104.9</v>
      </c>
      <c r="B16" s="10">
        <v>64</v>
      </c>
      <c r="C16" s="33">
        <f>(B16-B8)/B8</f>
        <v>0.207547169811321</v>
      </c>
      <c r="D16" s="10">
        <f>(A16*9.8/1000)/(C4)</f>
        <v>277641.538461538</v>
      </c>
    </row>
    <row r="17" spans="1:4">
      <c r="A17" s="10">
        <v>1154.9</v>
      </c>
      <c r="B17" s="10">
        <v>64</v>
      </c>
      <c r="C17" s="33">
        <f>(B17-B8)/B8</f>
        <v>0.207547169811321</v>
      </c>
      <c r="D17" s="10">
        <f>(A17*9.8/1000)/(C4)</f>
        <v>290205.641025641</v>
      </c>
    </row>
    <row r="18" spans="1:4">
      <c r="A18" s="10">
        <v>1204.9</v>
      </c>
      <c r="B18" s="10">
        <v>65</v>
      </c>
      <c r="C18" s="10">
        <f>(B18-B8)/B8</f>
        <v>0.226415094339623</v>
      </c>
      <c r="D18" s="10">
        <f>(A18*9.8/1000)/(C4)</f>
        <v>302769.743589744</v>
      </c>
    </row>
    <row r="20" spans="1:3">
      <c r="A20" s="7" t="s">
        <v>12</v>
      </c>
      <c r="B20" s="10" t="s">
        <v>13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1401647.51282051</v>
      </c>
    </row>
    <row r="23" spans="2:3">
      <c r="B23">
        <f>STEYX(D8:D18,C8:C18)</f>
        <v>16294.8177818087</v>
      </c>
      <c r="C23">
        <v>1400000</v>
      </c>
    </row>
    <row r="24" spans="2:3">
      <c r="B24">
        <f>1.96*B23</f>
        <v>31937.8428523451</v>
      </c>
      <c r="C24">
        <v>30000</v>
      </c>
    </row>
  </sheetData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D24"/>
  <sheetViews>
    <sheetView workbookViewId="0">
      <selection activeCell="C14" sqref="C14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73</v>
      </c>
    </row>
    <row r="2" ht="14.4" spans="1:2">
      <c r="A2" s="3" t="s">
        <v>2</v>
      </c>
      <c r="B2" s="4"/>
    </row>
    <row r="3" spans="1:3">
      <c r="A3" s="5" t="s">
        <v>3</v>
      </c>
      <c r="B3" s="19">
        <v>12.5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3.125e-5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75</v>
      </c>
      <c r="C8" s="10">
        <v>0</v>
      </c>
      <c r="D8" s="10">
        <v>0</v>
      </c>
    </row>
    <row r="9" spans="1:4">
      <c r="A9" s="10">
        <v>4.8</v>
      </c>
      <c r="B9" s="10">
        <v>75</v>
      </c>
      <c r="C9" s="10">
        <f>(B9-B8)/B8</f>
        <v>0</v>
      </c>
      <c r="D9" s="10">
        <f>(A9*9.8/1000)/(C4)</f>
        <v>1505.28</v>
      </c>
    </row>
    <row r="10" spans="1:4">
      <c r="A10" s="10">
        <v>204.8</v>
      </c>
      <c r="B10" s="10">
        <v>79</v>
      </c>
      <c r="C10" s="10">
        <f>(B10-B8)/B8</f>
        <v>0.0533333333333333</v>
      </c>
      <c r="D10" s="10">
        <f>(A10*9.8/1000)/(C4)</f>
        <v>64225.28</v>
      </c>
    </row>
    <row r="11" spans="1:4">
      <c r="A11" s="10">
        <v>404.8</v>
      </c>
      <c r="B11" s="10">
        <v>82</v>
      </c>
      <c r="C11" s="10">
        <f>(B11-B8)/B8</f>
        <v>0.0933333333333333</v>
      </c>
      <c r="D11" s="10">
        <f>(A11*9.8/1000)/(C4)</f>
        <v>126945.28</v>
      </c>
    </row>
    <row r="12" spans="1:4">
      <c r="A12" s="10">
        <v>504.8</v>
      </c>
      <c r="B12" s="10">
        <v>83</v>
      </c>
      <c r="C12" s="10">
        <f>(B12-B8)/B8</f>
        <v>0.106666666666667</v>
      </c>
      <c r="D12" s="10">
        <f>(A12*9.8/1000)/(C4)</f>
        <v>158305.28</v>
      </c>
    </row>
    <row r="13" spans="1:4">
      <c r="A13" s="10">
        <v>604.8</v>
      </c>
      <c r="B13" s="10">
        <v>85</v>
      </c>
      <c r="C13" s="10">
        <f>(B13-B8)/B8</f>
        <v>0.133333333333333</v>
      </c>
      <c r="D13" s="10">
        <f>(A13*9.8/1000)/(C4)</f>
        <v>189665.28</v>
      </c>
    </row>
    <row r="14" spans="1:4">
      <c r="A14" s="10">
        <v>704.8</v>
      </c>
      <c r="B14" s="10">
        <v>88</v>
      </c>
      <c r="C14" s="10">
        <f>(B14-B8)/B8</f>
        <v>0.173333333333333</v>
      </c>
      <c r="D14" s="10">
        <f>(A14*9.8/1000)/(C4)</f>
        <v>221025.28</v>
      </c>
    </row>
    <row r="15" spans="1:4">
      <c r="A15" s="10">
        <v>804.8</v>
      </c>
      <c r="B15" s="10">
        <v>90</v>
      </c>
      <c r="C15" s="10">
        <f>(B15-B8)/B8</f>
        <v>0.2</v>
      </c>
      <c r="D15" s="10">
        <f>(A15*9.8/1000)/(C4)</f>
        <v>252385.28</v>
      </c>
    </row>
    <row r="16" spans="1:4">
      <c r="A16" s="10">
        <v>904.8</v>
      </c>
      <c r="B16" s="10">
        <v>92</v>
      </c>
      <c r="C16" s="10">
        <f>(B16-B8)/B8</f>
        <v>0.226666666666667</v>
      </c>
      <c r="D16" s="10">
        <f>(A16*9.8/1000)/(C4)</f>
        <v>283745.28</v>
      </c>
    </row>
    <row r="17" spans="1:4">
      <c r="A17" s="10">
        <v>1004.8</v>
      </c>
      <c r="B17" s="10">
        <v>93.5</v>
      </c>
      <c r="C17" s="10">
        <f>(B17-B8)/B8</f>
        <v>0.246666666666667</v>
      </c>
      <c r="D17" s="10">
        <f>(A17*9.8/1000)/(C4)</f>
        <v>315105.28</v>
      </c>
    </row>
    <row r="18" spans="1:4">
      <c r="A18" s="10">
        <v>1104.8</v>
      </c>
      <c r="B18" s="10">
        <v>96</v>
      </c>
      <c r="C18" s="10">
        <f>(B18-B8)/B8</f>
        <v>0.28</v>
      </c>
      <c r="D18" s="10">
        <f>(A18*9.8/1000)/(C4)</f>
        <v>346465.28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1241963.69716417</v>
      </c>
    </row>
    <row r="23" spans="2:3">
      <c r="B23">
        <f>STEYX(D8:D18,C8:C18)</f>
        <v>10148.1512440655</v>
      </c>
      <c r="C23">
        <v>1240000</v>
      </c>
    </row>
    <row r="24" spans="2:3">
      <c r="B24">
        <f>1.96*B23</f>
        <v>19890.3764383683</v>
      </c>
      <c r="C24">
        <v>20000</v>
      </c>
    </row>
  </sheetData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D24"/>
  <sheetViews>
    <sheetView workbookViewId="0">
      <selection activeCell="A8" sqref="A8:D8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74</v>
      </c>
    </row>
    <row r="2" ht="14.4" spans="1:2">
      <c r="A2" s="3" t="s">
        <v>2</v>
      </c>
      <c r="B2" s="4"/>
    </row>
    <row r="3" spans="1:3">
      <c r="A3" s="5" t="s">
        <v>3</v>
      </c>
      <c r="B3" s="19">
        <v>12</v>
      </c>
      <c r="C3" s="7" t="s">
        <v>4</v>
      </c>
    </row>
    <row r="4" spans="1:3">
      <c r="A4" s="8" t="s">
        <v>5</v>
      </c>
      <c r="B4" s="9">
        <v>2.8</v>
      </c>
      <c r="C4" s="10">
        <f>(B3/1000)*(B4/1000)</f>
        <v>3.36e-5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31">
        <v>0</v>
      </c>
      <c r="B8" s="31">
        <v>77.5</v>
      </c>
      <c r="C8" s="29">
        <v>0</v>
      </c>
      <c r="D8" s="29">
        <v>0</v>
      </c>
    </row>
    <row r="9" spans="1:4">
      <c r="A9" s="10">
        <v>4.9</v>
      </c>
      <c r="B9" s="10">
        <v>79.3</v>
      </c>
      <c r="C9" s="10">
        <f>(B9-B8)/B8</f>
        <v>0.0232258064516129</v>
      </c>
      <c r="D9" s="10">
        <f>(A9*9.8/1000)/(C4)</f>
        <v>1429.16666666667</v>
      </c>
    </row>
    <row r="10" spans="1:4">
      <c r="A10" s="10">
        <v>54.9</v>
      </c>
      <c r="B10" s="10">
        <v>80.5</v>
      </c>
      <c r="C10" s="10">
        <f>(B10-B8)/B8</f>
        <v>0.0387096774193548</v>
      </c>
      <c r="D10" s="10">
        <f>(A10*9.8/1000)/(C4)</f>
        <v>16012.5</v>
      </c>
    </row>
    <row r="11" spans="1:4">
      <c r="A11" s="10">
        <v>104.9</v>
      </c>
      <c r="B11" s="10">
        <v>81.6</v>
      </c>
      <c r="C11" s="10">
        <f>(B11-B8)/B8</f>
        <v>0.0529032258064515</v>
      </c>
      <c r="D11" s="10">
        <f>(A11*9.8/1000)/(C4)</f>
        <v>30595.8333333333</v>
      </c>
    </row>
    <row r="12" spans="1:4">
      <c r="A12" s="10">
        <v>154.9</v>
      </c>
      <c r="B12" s="10">
        <v>82.8</v>
      </c>
      <c r="C12" s="10">
        <f>(B12-B8)/B8</f>
        <v>0.0683870967741935</v>
      </c>
      <c r="D12" s="10">
        <f>(A12*9.8/1000)/(C4)</f>
        <v>45179.1666666667</v>
      </c>
    </row>
    <row r="13" spans="1:4">
      <c r="A13" s="10">
        <v>204.9</v>
      </c>
      <c r="B13" s="10">
        <v>83.5</v>
      </c>
      <c r="C13" s="10">
        <f>(B13-B8)/B8</f>
        <v>0.0774193548387097</v>
      </c>
      <c r="D13" s="10">
        <f>(A13*9.8/1000)/(C4)</f>
        <v>59762.5</v>
      </c>
    </row>
    <row r="14" spans="1:4">
      <c r="A14" s="10">
        <v>304.9</v>
      </c>
      <c r="B14" s="10">
        <v>85.2</v>
      </c>
      <c r="C14" s="10">
        <f>(B14-B8)/B8</f>
        <v>0.0993548387096775</v>
      </c>
      <c r="D14" s="10">
        <f>(A14*9.8/1000)/(C4)</f>
        <v>88929.1666666667</v>
      </c>
    </row>
    <row r="15" spans="1:4">
      <c r="A15" s="10">
        <v>345.9</v>
      </c>
      <c r="B15" s="10">
        <v>86</v>
      </c>
      <c r="C15" s="10">
        <f>(B15-B8)/B8</f>
        <v>0.109677419354839</v>
      </c>
      <c r="D15" s="10">
        <f>(A15*9.8/1000)/(C4)</f>
        <v>100887.5</v>
      </c>
    </row>
    <row r="16" spans="1:4">
      <c r="A16" s="10">
        <v>454.9</v>
      </c>
      <c r="B16" s="10">
        <v>87.1</v>
      </c>
      <c r="C16" s="10">
        <f>(B16-B8)/B8</f>
        <v>0.123870967741935</v>
      </c>
      <c r="D16" s="10">
        <f>(A16*9.8/1000)/(C4)</f>
        <v>132679.166666667</v>
      </c>
    </row>
    <row r="17" spans="1:4">
      <c r="A17" s="10">
        <v>504.9</v>
      </c>
      <c r="B17" s="10">
        <v>87.9</v>
      </c>
      <c r="C17" s="10">
        <f>(B17-B8)/B8</f>
        <v>0.134193548387097</v>
      </c>
      <c r="D17" s="10">
        <f>(A17*9.8/1000)/(C4)</f>
        <v>147262.5</v>
      </c>
    </row>
    <row r="18" spans="1:4">
      <c r="A18" s="10">
        <v>554.9</v>
      </c>
      <c r="B18" s="10">
        <v>89.4</v>
      </c>
      <c r="C18" s="10">
        <f>(B18-B8)/B8</f>
        <v>0.153548387096774</v>
      </c>
      <c r="D18" s="10">
        <f>(A18*9.8/1000)/(C4)</f>
        <v>161845.833333333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1183219.89224422</v>
      </c>
    </row>
    <row r="23" spans="2:3">
      <c r="B23">
        <f>STEYX(D8:D18,C8:C18)</f>
        <v>11521.0985192814</v>
      </c>
      <c r="C23">
        <v>1180000</v>
      </c>
    </row>
    <row r="24" spans="2:3">
      <c r="B24">
        <f>1.96*B23</f>
        <v>22581.3530977915</v>
      </c>
      <c r="C24">
        <v>20000</v>
      </c>
    </row>
  </sheetData>
  <pageMargins left="0.7" right="0.7" top="0.75" bottom="0.75" header="0.3" footer="0.3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D24"/>
  <sheetViews>
    <sheetView workbookViewId="0">
      <selection activeCell="A8" sqref="A8:D8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75</v>
      </c>
    </row>
    <row r="2" ht="14.4" spans="1:2">
      <c r="A2" s="3" t="s">
        <v>2</v>
      </c>
      <c r="B2" s="4"/>
    </row>
    <row r="3" spans="1:3">
      <c r="A3" s="5" t="s">
        <v>3</v>
      </c>
      <c r="B3" s="19">
        <v>13.2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3.96e-5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8">
        <v>0</v>
      </c>
      <c r="B8" s="28">
        <v>71</v>
      </c>
      <c r="C8" s="29">
        <v>0</v>
      </c>
      <c r="D8" s="29">
        <v>0</v>
      </c>
    </row>
    <row r="9" spans="1:4">
      <c r="A9" s="30">
        <v>15.4</v>
      </c>
      <c r="B9" s="30">
        <v>74</v>
      </c>
      <c r="C9" s="10">
        <f>(B9-B8)/B8</f>
        <v>0.0422535211267606</v>
      </c>
      <c r="D9" s="10">
        <f>(A9*9.8/1000)/(C4)</f>
        <v>3811.11111111111</v>
      </c>
    </row>
    <row r="10" spans="1:4">
      <c r="A10" s="30">
        <v>215.4</v>
      </c>
      <c r="B10" s="30">
        <v>78.1</v>
      </c>
      <c r="C10" s="10">
        <f>(B10-B8)/B8</f>
        <v>0.0999999999999999</v>
      </c>
      <c r="D10" s="10">
        <f>(A10*9.8/1000)/(C4)</f>
        <v>53306.0606060606</v>
      </c>
    </row>
    <row r="11" spans="1:4">
      <c r="A11" s="30">
        <v>315.4</v>
      </c>
      <c r="B11" s="30">
        <v>79.5</v>
      </c>
      <c r="C11" s="10">
        <f>(B11-B8)/B8</f>
        <v>0.119718309859155</v>
      </c>
      <c r="D11" s="10">
        <f>(A11*9.8/1000)/(C4)</f>
        <v>78053.5353535353</v>
      </c>
    </row>
    <row r="12" spans="1:4">
      <c r="A12" s="30">
        <v>329.8</v>
      </c>
      <c r="B12" s="30">
        <v>80.5</v>
      </c>
      <c r="C12" s="10">
        <f>(B12-B8)/B8</f>
        <v>0.133802816901408</v>
      </c>
      <c r="D12" s="10">
        <f>(A12*9.8/1000)/(C4)</f>
        <v>81617.1717171717</v>
      </c>
    </row>
    <row r="13" spans="1:4">
      <c r="A13" s="30">
        <v>350.7</v>
      </c>
      <c r="B13" s="30">
        <v>81.5</v>
      </c>
      <c r="C13" s="10">
        <f>(B13-B8)/B8</f>
        <v>0.147887323943662</v>
      </c>
      <c r="D13" s="10">
        <f>(A13*9.8/1000)/(C4)</f>
        <v>86789.393939394</v>
      </c>
    </row>
    <row r="14" spans="1:4">
      <c r="A14" s="30">
        <v>400.7</v>
      </c>
      <c r="B14" s="30">
        <v>82</v>
      </c>
      <c r="C14" s="10">
        <f>(B14-B8)/B8</f>
        <v>0.154929577464789</v>
      </c>
      <c r="D14" s="10">
        <f>(A14*9.8/1000)/(C4)</f>
        <v>99163.1313131313</v>
      </c>
    </row>
    <row r="15" spans="1:4">
      <c r="A15" s="30">
        <v>500.7</v>
      </c>
      <c r="B15" s="30">
        <v>84</v>
      </c>
      <c r="C15" s="10">
        <f>(B15-B8)/B8</f>
        <v>0.183098591549296</v>
      </c>
      <c r="D15" s="10">
        <f>(A15*9.8/1000)/(C4)</f>
        <v>123910.606060606</v>
      </c>
    </row>
    <row r="16" spans="1:4">
      <c r="A16" s="30">
        <v>600.7</v>
      </c>
      <c r="B16" s="30">
        <v>85.2</v>
      </c>
      <c r="C16" s="10">
        <f>(B16-B8)/B8</f>
        <v>0.2</v>
      </c>
      <c r="D16" s="10">
        <f>(A16*9.8/1000)/(C4)</f>
        <v>148658.080808081</v>
      </c>
    </row>
    <row r="17" spans="1:4">
      <c r="A17" s="30">
        <v>700.7</v>
      </c>
      <c r="B17" s="30">
        <v>87.8</v>
      </c>
      <c r="C17" s="10">
        <f>(B17-B8)/B8</f>
        <v>0.236619718309859</v>
      </c>
      <c r="D17" s="10">
        <f>(A17*9.8/1000)/(C4)</f>
        <v>173405.555555556</v>
      </c>
    </row>
    <row r="18" spans="1:4">
      <c r="A18" s="30">
        <v>750.7</v>
      </c>
      <c r="B18" s="30">
        <v>89.3</v>
      </c>
      <c r="C18" s="10">
        <f>(B18-B8)/B8</f>
        <v>0.257746478873239</v>
      </c>
      <c r="D18" s="10">
        <f>(A18*9.8/1000)/(C4)</f>
        <v>185779.292929293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784125.280085435</v>
      </c>
    </row>
    <row r="23" spans="2:3">
      <c r="B23">
        <f>STEYX(D8:D18,C8:C18)</f>
        <v>9514.14882936374</v>
      </c>
      <c r="C23">
        <v>780000</v>
      </c>
    </row>
    <row r="24" spans="2:3">
      <c r="B24">
        <f>1.96*B23</f>
        <v>18647.7317055529</v>
      </c>
      <c r="C24">
        <v>20000</v>
      </c>
    </row>
  </sheetData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K38"/>
  <sheetViews>
    <sheetView workbookViewId="0">
      <selection activeCell="B1" sqref="B1"/>
    </sheetView>
  </sheetViews>
  <sheetFormatPr defaultColWidth="9" defaultRowHeight="13.8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5" t="s">
        <v>76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</v>
      </c>
      <c r="C4" s="10">
        <f>(B3/1000)*(B4/1000)</f>
        <v>2.6e-5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35</v>
      </c>
      <c r="C8" s="10">
        <v>0</v>
      </c>
      <c r="D8" s="10">
        <v>0</v>
      </c>
    </row>
    <row r="9" spans="1:4">
      <c r="A9" s="10">
        <v>4.9</v>
      </c>
      <c r="B9" s="10">
        <v>35.3</v>
      </c>
      <c r="C9" s="10">
        <f>(B9-B8)/B8</f>
        <v>0.00857142857142849</v>
      </c>
      <c r="D9" s="10">
        <f>(A9*9.8/1000)/(C4)</f>
        <v>1846.92307692308</v>
      </c>
    </row>
    <row r="10" spans="1:4">
      <c r="A10" s="10">
        <v>54.9</v>
      </c>
      <c r="B10" s="10">
        <v>36.5</v>
      </c>
      <c r="C10" s="10">
        <f>(B10-B8)/B8</f>
        <v>0.0428571428571429</v>
      </c>
      <c r="D10" s="10">
        <f>(A10*9.8/1000)/(C4)</f>
        <v>20693.0769230769</v>
      </c>
    </row>
    <row r="11" spans="1:4">
      <c r="A11" s="10">
        <v>104.9</v>
      </c>
      <c r="B11" s="10">
        <v>37.1</v>
      </c>
      <c r="C11" s="10">
        <f>(B11-B8)/B8</f>
        <v>0.06</v>
      </c>
      <c r="D11" s="10">
        <f>(A11*9.8/1000)/(C4)</f>
        <v>39539.2307692308</v>
      </c>
    </row>
    <row r="12" spans="1:4">
      <c r="A12" s="10">
        <v>154.9</v>
      </c>
      <c r="B12" s="10">
        <v>38</v>
      </c>
      <c r="C12" s="10">
        <f>(B12-B8)/B8</f>
        <v>0.0857142857142857</v>
      </c>
      <c r="D12" s="10">
        <f>(A12*9.8/1000)/(C4)</f>
        <v>58385.3846153846</v>
      </c>
    </row>
    <row r="13" spans="1:4">
      <c r="A13" s="10">
        <v>204.9</v>
      </c>
      <c r="B13" s="10">
        <v>38.9</v>
      </c>
      <c r="C13" s="10">
        <f>(B13-B8)/B8</f>
        <v>0.111428571428571</v>
      </c>
      <c r="D13" s="10">
        <f>(A13*9.8/1000)/(C4)</f>
        <v>77231.5384615385</v>
      </c>
    </row>
    <row r="14" spans="1:4">
      <c r="A14" s="10">
        <v>304.9</v>
      </c>
      <c r="B14" s="10">
        <v>39.8</v>
      </c>
      <c r="C14" s="10">
        <f>(B14-B8)/B8</f>
        <v>0.137142857142857</v>
      </c>
      <c r="D14" s="10">
        <f>(A14*9.8/1000)/(C4)</f>
        <v>114923.846153846</v>
      </c>
    </row>
    <row r="15" spans="1:4">
      <c r="A15" s="10">
        <v>504.9</v>
      </c>
      <c r="B15" s="10">
        <v>41.2</v>
      </c>
      <c r="C15" s="10">
        <f>(B15-B8)/B8</f>
        <v>0.177142857142857</v>
      </c>
      <c r="D15" s="10">
        <f>(A15*9.8/1000)/(C4)</f>
        <v>190308.461538462</v>
      </c>
    </row>
    <row r="16" spans="1:4">
      <c r="A16" s="10">
        <v>554.9</v>
      </c>
      <c r="B16" s="10">
        <v>42</v>
      </c>
      <c r="C16" s="10">
        <f>(B16-B8)/B8</f>
        <v>0.2</v>
      </c>
      <c r="D16" s="10">
        <f>(A16*9.8/1000)/(C4)</f>
        <v>209154.615384615</v>
      </c>
    </row>
    <row r="17" spans="1:4">
      <c r="A17" s="10">
        <v>604.9</v>
      </c>
      <c r="B17" s="10">
        <v>42.8</v>
      </c>
      <c r="C17" s="10">
        <f>(B17-B8)/B8</f>
        <v>0.222857142857143</v>
      </c>
      <c r="D17" s="10">
        <f>(A17*9.8/1000)/(C4)</f>
        <v>228000.769230769</v>
      </c>
    </row>
    <row r="18" spans="1:4">
      <c r="A18" s="10">
        <v>704.9</v>
      </c>
      <c r="B18" s="10">
        <v>43.3</v>
      </c>
      <c r="C18" s="10">
        <f>(B18-B8)/B8</f>
        <v>0.237142857142857</v>
      </c>
      <c r="D18" s="10">
        <f>(A18*9.8/1000)/(C4)</f>
        <v>265693.076923077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1134266.25404362</v>
      </c>
    </row>
    <row r="23" spans="2:3">
      <c r="B23">
        <f>STEYX(D8:D18,C8:C18)</f>
        <v>17095.0943973588</v>
      </c>
      <c r="C23">
        <v>1130000</v>
      </c>
    </row>
    <row r="24" spans="2:3">
      <c r="B24">
        <f>1.96*B23</f>
        <v>33506.3850188233</v>
      </c>
      <c r="C24">
        <v>30000</v>
      </c>
    </row>
    <row r="25" spans="3:4">
      <c r="C25" s="26"/>
      <c r="D25" s="26"/>
    </row>
    <row r="33" spans="3:8">
      <c r="C33" s="27"/>
      <c r="D33" s="27"/>
      <c r="E33" s="27"/>
      <c r="F33" s="27"/>
      <c r="G33" s="27"/>
      <c r="H33" s="27"/>
    </row>
    <row r="38" spans="3:11">
      <c r="C38" s="27"/>
      <c r="D38" s="27"/>
      <c r="E38" s="27"/>
      <c r="F38" s="27"/>
      <c r="G38" s="27"/>
      <c r="H38" s="27"/>
      <c r="I38" s="27"/>
      <c r="J38" s="27"/>
      <c r="K38" s="27"/>
    </row>
  </sheetData>
  <pageMargins left="0.7" right="0.7" top="0.75" bottom="0.75" header="0.3" footer="0.3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D23"/>
  <sheetViews>
    <sheetView workbookViewId="0">
      <selection activeCell="C22" sqref="C22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3" t="s">
        <v>77</v>
      </c>
    </row>
    <row r="2" ht="14.4" spans="1:2">
      <c r="A2" s="3" t="s">
        <v>2</v>
      </c>
      <c r="B2" s="4"/>
    </row>
    <row r="3" spans="1:3">
      <c r="A3" s="5" t="s">
        <v>3</v>
      </c>
      <c r="B3" s="19">
        <v>13</v>
      </c>
      <c r="C3" s="7" t="s">
        <v>4</v>
      </c>
    </row>
    <row r="4" spans="1:3">
      <c r="A4" s="8" t="s">
        <v>5</v>
      </c>
      <c r="B4" s="9">
        <v>2.3</v>
      </c>
      <c r="C4" s="10">
        <f>(B3/1000)*(B4/1000)</f>
        <v>2.99e-5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4">
        <v>0</v>
      </c>
      <c r="B8" s="24">
        <v>62</v>
      </c>
      <c r="C8" s="10">
        <v>0</v>
      </c>
      <c r="D8" s="10">
        <v>0</v>
      </c>
    </row>
    <row r="9" spans="1:4">
      <c r="A9" s="10">
        <v>104.9</v>
      </c>
      <c r="B9" s="10">
        <v>68.3</v>
      </c>
      <c r="C9" s="10">
        <f>(B9-B8)/B8</f>
        <v>0.101612903225806</v>
      </c>
      <c r="D9" s="10">
        <f>(A9*9.8/1000)/(C4)</f>
        <v>34381.9397993311</v>
      </c>
    </row>
    <row r="10" spans="1:4">
      <c r="A10" s="10">
        <v>204.9</v>
      </c>
      <c r="B10" s="10">
        <v>70</v>
      </c>
      <c r="C10" s="10">
        <f>(B10-B8)/B8</f>
        <v>0.129032258064516</v>
      </c>
      <c r="D10" s="10">
        <f>(A10*9.8/1000)/(C4)</f>
        <v>67157.8595317726</v>
      </c>
    </row>
    <row r="11" spans="1:4">
      <c r="A11" s="10">
        <v>404.9</v>
      </c>
      <c r="B11" s="10">
        <v>72</v>
      </c>
      <c r="C11" s="10">
        <f>(B11-B8)/B8</f>
        <v>0.161290322580645</v>
      </c>
      <c r="D11" s="10">
        <f>(A11*9.8/1000)/(C4)</f>
        <v>132709.698996656</v>
      </c>
    </row>
    <row r="12" spans="1:4">
      <c r="A12" s="10">
        <v>504.9</v>
      </c>
      <c r="B12" s="10">
        <v>73</v>
      </c>
      <c r="C12" s="10">
        <f>(B12-B8)/B8</f>
        <v>0.17741935483871</v>
      </c>
      <c r="D12" s="10">
        <f>(A12*9.8/1000)/(C4)</f>
        <v>165485.618729097</v>
      </c>
    </row>
    <row r="13" spans="1:4">
      <c r="A13" s="10">
        <v>604.9</v>
      </c>
      <c r="B13" s="10">
        <v>75.4</v>
      </c>
      <c r="C13" s="10">
        <f>(B13-B8)/B8</f>
        <v>0.216129032258065</v>
      </c>
      <c r="D13" s="10">
        <f>(A13*9.8/1000)/(C4)</f>
        <v>198261.538461538</v>
      </c>
    </row>
    <row r="14" spans="1:4">
      <c r="A14" s="10">
        <v>654.9</v>
      </c>
      <c r="B14" s="10">
        <v>76</v>
      </c>
      <c r="C14" s="10">
        <f>(B14-B8)/B8</f>
        <v>0.225806451612903</v>
      </c>
      <c r="D14" s="10">
        <f>(A14*9.8/1000)/(C4)</f>
        <v>214649.498327759</v>
      </c>
    </row>
    <row r="15" spans="1:4">
      <c r="A15" s="10">
        <v>854.9</v>
      </c>
      <c r="B15" s="10">
        <v>76.8</v>
      </c>
      <c r="C15" s="10">
        <f>(B15-B8)/B8</f>
        <v>0.238709677419355</v>
      </c>
      <c r="D15" s="10">
        <f>(A15*9.8/1000)/(C4)</f>
        <v>280201.337792642</v>
      </c>
    </row>
    <row r="16" spans="1:4">
      <c r="A16" s="10">
        <v>954.9</v>
      </c>
      <c r="B16" s="10">
        <v>79</v>
      </c>
      <c r="C16" s="10">
        <f>(B16-B8)/B8</f>
        <v>0.274193548387097</v>
      </c>
      <c r="D16" s="10">
        <f>(A16*9.8/1000)/(C4)</f>
        <v>312977.257525084</v>
      </c>
    </row>
    <row r="17" spans="1:4">
      <c r="A17" s="10">
        <v>1054.9</v>
      </c>
      <c r="B17" s="10">
        <v>79.7</v>
      </c>
      <c r="C17" s="10">
        <f>(B17-B8)/B8</f>
        <v>0.285483870967742</v>
      </c>
      <c r="D17" s="10">
        <f>(A17*9.8/1000)/(C4)</f>
        <v>345753.177257525</v>
      </c>
    </row>
    <row r="19" spans="1:3">
      <c r="A19" s="7" t="s">
        <v>12</v>
      </c>
      <c r="B19" s="10" t="s">
        <v>19</v>
      </c>
      <c r="C19" s="7" t="s">
        <v>14</v>
      </c>
    </row>
    <row r="20" spans="1:3">
      <c r="A20" s="7" t="s">
        <v>15</v>
      </c>
      <c r="B20" s="10" t="s">
        <v>42</v>
      </c>
      <c r="C20" s="10">
        <f>SLOPE(D8:D17,C8:C17)</f>
        <v>1297565.18958598</v>
      </c>
    </row>
    <row r="22" spans="2:3">
      <c r="B22">
        <f>STEYX(D8:D17,C8:C17)</f>
        <v>35743.7106993893</v>
      </c>
      <c r="C22">
        <v>1300000</v>
      </c>
    </row>
    <row r="23" spans="2:3">
      <c r="B23">
        <f>1.96*B22</f>
        <v>70057.672970803</v>
      </c>
      <c r="C23">
        <v>70000</v>
      </c>
    </row>
  </sheetData>
  <pageMargins left="0.7" right="0.7" top="0.75" bottom="0.75" header="0.3" footer="0.3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D24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78</v>
      </c>
    </row>
    <row r="2" ht="14.4" spans="1:2">
      <c r="A2" s="3" t="s">
        <v>2</v>
      </c>
      <c r="B2" s="4"/>
    </row>
    <row r="3" spans="1:3">
      <c r="A3" s="5" t="s">
        <v>3</v>
      </c>
      <c r="B3" s="19">
        <v>12.8</v>
      </c>
      <c r="C3" s="7" t="s">
        <v>4</v>
      </c>
    </row>
    <row r="4" spans="1:3">
      <c r="A4" s="8" t="s">
        <v>5</v>
      </c>
      <c r="B4" s="9">
        <v>2.8</v>
      </c>
      <c r="C4" s="10">
        <f>(B3/1000)*(B4/1000)</f>
        <v>3.584e-5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69.5</v>
      </c>
      <c r="C8" s="10">
        <v>0</v>
      </c>
      <c r="D8" s="10">
        <v>0</v>
      </c>
    </row>
    <row r="9" spans="1:4">
      <c r="A9" s="10">
        <v>204.5</v>
      </c>
      <c r="B9" s="10">
        <v>72.5</v>
      </c>
      <c r="C9" s="10">
        <f>(B9-B8)/B8</f>
        <v>0.0431654676258993</v>
      </c>
      <c r="D9" s="10">
        <f>(A9*9.8/1000)/(C4)</f>
        <v>55917.96875</v>
      </c>
    </row>
    <row r="10" spans="1:4">
      <c r="A10" s="10">
        <v>404.5</v>
      </c>
      <c r="B10" s="10">
        <v>75.5</v>
      </c>
      <c r="C10" s="10">
        <f>(B10-B8)/B8</f>
        <v>0.0863309352517986</v>
      </c>
      <c r="D10" s="10">
        <f>(A10*9.8/1000)/(C4)</f>
        <v>110605.46875</v>
      </c>
    </row>
    <row r="11" spans="1:4">
      <c r="A11" s="10">
        <v>604.5</v>
      </c>
      <c r="B11" s="10">
        <v>79</v>
      </c>
      <c r="C11" s="10">
        <f>(B11-B8)/B8</f>
        <v>0.136690647482014</v>
      </c>
      <c r="D11" s="10">
        <f>(A11*9.8/1000)/(C4)</f>
        <v>165292.96875</v>
      </c>
    </row>
    <row r="12" spans="1:4">
      <c r="A12" s="10">
        <v>704.5</v>
      </c>
      <c r="B12" s="10">
        <v>81</v>
      </c>
      <c r="C12" s="10">
        <f>(B12-B8)/B8</f>
        <v>0.165467625899281</v>
      </c>
      <c r="D12" s="10">
        <f>(A12*9.8/1000)/(C4)</f>
        <v>192636.71875</v>
      </c>
    </row>
    <row r="13" spans="1:4">
      <c r="A13" s="10">
        <v>804.5</v>
      </c>
      <c r="B13" s="10">
        <v>82</v>
      </c>
      <c r="C13" s="10">
        <f>(B13-B8)/B8</f>
        <v>0.179856115107914</v>
      </c>
      <c r="D13" s="10">
        <f>(A13*9.8/1000)/(C4)</f>
        <v>219980.46875</v>
      </c>
    </row>
    <row r="14" spans="1:4">
      <c r="A14" s="10">
        <v>904.5</v>
      </c>
      <c r="B14" s="10">
        <v>83</v>
      </c>
      <c r="C14" s="10">
        <f>(B14-B8)/B8</f>
        <v>0.194244604316547</v>
      </c>
      <c r="D14" s="10">
        <f>(A14*9.8/1000)/(C4)</f>
        <v>247324.21875</v>
      </c>
    </row>
    <row r="15" spans="1:4">
      <c r="A15" s="10">
        <v>1004.5</v>
      </c>
      <c r="B15" s="10">
        <v>85</v>
      </c>
      <c r="C15" s="10">
        <f>(B15-B8)/B8</f>
        <v>0.223021582733813</v>
      </c>
      <c r="D15" s="10">
        <f>(A15*9.8/1000)/(C4)</f>
        <v>274667.96875</v>
      </c>
    </row>
    <row r="16" spans="1:4">
      <c r="A16" s="10">
        <v>1104.5</v>
      </c>
      <c r="B16" s="10">
        <v>87</v>
      </c>
      <c r="C16" s="10">
        <f>(B16-B8)/B8</f>
        <v>0.251798561151079</v>
      </c>
      <c r="D16" s="10">
        <f>(A16*9.8/1000)/(C4)</f>
        <v>302011.71875</v>
      </c>
    </row>
    <row r="17" spans="1:4">
      <c r="A17" s="10">
        <v>1204.5</v>
      </c>
      <c r="B17" s="10">
        <v>89</v>
      </c>
      <c r="C17" s="10">
        <f>(B17-B8)/B8</f>
        <v>0.280575539568345</v>
      </c>
      <c r="D17" s="10">
        <f>(A17*9.8/1000)/(C4)</f>
        <v>329355.46875</v>
      </c>
    </row>
    <row r="18" spans="1:4">
      <c r="A18" s="10">
        <v>1304.5</v>
      </c>
      <c r="B18" s="10">
        <v>91</v>
      </c>
      <c r="C18" s="10">
        <f>(B18-B8)/B8</f>
        <v>0.309352517985612</v>
      </c>
      <c r="D18" s="10">
        <f>(A18*9.8/1000)/(C4)</f>
        <v>356699.21875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1166169.3392282</v>
      </c>
    </row>
    <row r="23" spans="2:3">
      <c r="B23">
        <f>STEYX(D8:D18,C8:C18)</f>
        <v>7596.35762244192</v>
      </c>
      <c r="C23">
        <v>1170000</v>
      </c>
    </row>
    <row r="24" spans="2:3">
      <c r="B24">
        <f>1.96*B23</f>
        <v>14888.8609399862</v>
      </c>
      <c r="C24">
        <v>10000</v>
      </c>
    </row>
  </sheetData>
  <pageMargins left="0.7" right="0.7" top="0.75" bottom="0.75" header="0.3" footer="0.3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D24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79</v>
      </c>
    </row>
    <row r="2" ht="14.4" spans="1:2">
      <c r="A2" s="3" t="s">
        <v>2</v>
      </c>
      <c r="B2" s="4"/>
    </row>
    <row r="3" spans="1:3">
      <c r="A3" s="5" t="s">
        <v>3</v>
      </c>
      <c r="B3" s="19">
        <v>12.9</v>
      </c>
      <c r="C3" s="7" t="s">
        <v>4</v>
      </c>
    </row>
    <row r="4" spans="1:3">
      <c r="A4" s="8" t="s">
        <v>5</v>
      </c>
      <c r="B4" s="9">
        <v>3.8</v>
      </c>
      <c r="C4" s="10">
        <f>(B3/1000)*(B4/1000)</f>
        <v>4.902e-5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0">
        <v>70</v>
      </c>
      <c r="C8" s="10">
        <v>0</v>
      </c>
      <c r="D8" s="10">
        <v>0</v>
      </c>
    </row>
    <row r="9" spans="1:4">
      <c r="A9" s="10">
        <v>5</v>
      </c>
      <c r="B9" s="10">
        <v>70.5</v>
      </c>
      <c r="C9" s="10">
        <f>(B9-B8)/B8</f>
        <v>0.00714285714285714</v>
      </c>
      <c r="D9" s="10">
        <f>(A9*9.8/1000)/(C4)</f>
        <v>999.592003263974</v>
      </c>
    </row>
    <row r="10" spans="1:4">
      <c r="A10" s="10">
        <v>55</v>
      </c>
      <c r="B10" s="10">
        <v>71.4</v>
      </c>
      <c r="C10" s="10">
        <f>(B10-B8)/B8</f>
        <v>0.0200000000000001</v>
      </c>
      <c r="D10" s="10">
        <f>(A10*9.8/1000)/(C4)</f>
        <v>10995.5120359037</v>
      </c>
    </row>
    <row r="11" spans="1:4">
      <c r="A11" s="10">
        <v>105</v>
      </c>
      <c r="B11" s="10">
        <v>72.4</v>
      </c>
      <c r="C11" s="10">
        <f>(B11-B8)/B8</f>
        <v>0.0342857142857144</v>
      </c>
      <c r="D11" s="10">
        <f>(A11*9.8/1000)/(C4)</f>
        <v>20991.4320685435</v>
      </c>
    </row>
    <row r="12" spans="1:4">
      <c r="A12" s="10">
        <v>305</v>
      </c>
      <c r="B12" s="10">
        <v>75</v>
      </c>
      <c r="C12" s="10">
        <f>(B12-B8)/B8</f>
        <v>0.0714285714285714</v>
      </c>
      <c r="D12" s="10">
        <f>(A12*9.8/1000)/(C4)</f>
        <v>60975.1121991024</v>
      </c>
    </row>
    <row r="13" spans="1:4">
      <c r="A13" s="10">
        <v>405</v>
      </c>
      <c r="B13" s="10">
        <v>76.5</v>
      </c>
      <c r="C13" s="10">
        <f>(B13-B8)/B8</f>
        <v>0.0928571428571429</v>
      </c>
      <c r="D13" s="10">
        <f>(A13*9.8/1000)/(C4)</f>
        <v>80966.9522643819</v>
      </c>
    </row>
    <row r="14" spans="1:4">
      <c r="A14" s="10">
        <v>605</v>
      </c>
      <c r="B14" s="10">
        <v>77.9</v>
      </c>
      <c r="C14" s="10">
        <f>(B14-B8)/B8</f>
        <v>0.112857142857143</v>
      </c>
      <c r="D14" s="10">
        <f>(A14*9.8/1000)/(C4)</f>
        <v>120950.632394941</v>
      </c>
    </row>
    <row r="15" spans="1:4">
      <c r="A15" s="10">
        <v>705</v>
      </c>
      <c r="B15" s="10">
        <v>79.9</v>
      </c>
      <c r="C15" s="10">
        <f>(B15-B8)/B8</f>
        <v>0.141428571428572</v>
      </c>
      <c r="D15" s="10">
        <f>(A15*9.8/1000)/(C4)</f>
        <v>140942.47246022</v>
      </c>
    </row>
    <row r="16" spans="1:4">
      <c r="A16" s="10">
        <v>805</v>
      </c>
      <c r="B16" s="10">
        <v>81.5</v>
      </c>
      <c r="C16" s="10">
        <f>(B16-B8)/B8</f>
        <v>0.164285714285714</v>
      </c>
      <c r="D16" s="10">
        <f>(A16*9.8/1000)/(C4)</f>
        <v>160934.3125255</v>
      </c>
    </row>
    <row r="17" spans="1:4">
      <c r="A17" s="10">
        <v>955</v>
      </c>
      <c r="B17" s="10">
        <v>84.5</v>
      </c>
      <c r="C17" s="10">
        <f>(B17-B8)/B8</f>
        <v>0.207142857142857</v>
      </c>
      <c r="D17" s="10">
        <f>(A17*9.8/1000)/(C4)</f>
        <v>190922.072623419</v>
      </c>
    </row>
    <row r="18" spans="1:4">
      <c r="A18" s="10">
        <v>1055</v>
      </c>
      <c r="B18" s="10">
        <v>87.5</v>
      </c>
      <c r="C18" s="10">
        <f>(B18-B8)/B8</f>
        <v>0.25</v>
      </c>
      <c r="D18" s="10">
        <f>(A18*9.8/1000)/(C4)</f>
        <v>210913.912688699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926339.187275867</v>
      </c>
    </row>
    <row r="23" spans="2:3">
      <c r="B23">
        <f>STEYX(D8:D18,C8:C18)</f>
        <v>11006.6631704388</v>
      </c>
      <c r="C23">
        <v>930000</v>
      </c>
    </row>
    <row r="24" spans="2:3">
      <c r="B24">
        <f>1.96*B23</f>
        <v>21573.0598140601</v>
      </c>
      <c r="C24">
        <v>20000</v>
      </c>
    </row>
  </sheetData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D24"/>
  <sheetViews>
    <sheetView workbookViewId="0">
      <selection activeCell="C23" sqref="C23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3" t="s">
        <v>80</v>
      </c>
    </row>
    <row r="2" ht="14.4" spans="1:2">
      <c r="A2" s="3" t="s">
        <v>2</v>
      </c>
      <c r="B2" s="4"/>
    </row>
    <row r="3" spans="1:3">
      <c r="A3" s="5" t="s">
        <v>3</v>
      </c>
      <c r="B3" s="19">
        <v>12</v>
      </c>
      <c r="C3" s="7" t="s">
        <v>4</v>
      </c>
    </row>
    <row r="4" spans="1:3">
      <c r="A4" s="8" t="s">
        <v>5</v>
      </c>
      <c r="B4" s="9">
        <v>2.5</v>
      </c>
      <c r="C4" s="10">
        <f>(B3/1000)*(B4/1000)</f>
        <v>3e-5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0">
        <v>0</v>
      </c>
      <c r="B8" s="10">
        <v>74</v>
      </c>
      <c r="C8" s="10">
        <v>0</v>
      </c>
      <c r="D8" s="10">
        <v>0</v>
      </c>
    </row>
    <row r="9" spans="1:4">
      <c r="A9" s="10">
        <v>5</v>
      </c>
      <c r="B9" s="10">
        <v>74.1</v>
      </c>
      <c r="C9" s="10">
        <f>(B9-B8)/B8</f>
        <v>0.00135135135135127</v>
      </c>
      <c r="D9" s="10">
        <f>(A9*9.8/1000)/(C4)</f>
        <v>1633.33333333333</v>
      </c>
    </row>
    <row r="10" spans="1:4">
      <c r="A10" s="10">
        <v>55</v>
      </c>
      <c r="B10" s="10">
        <v>74.5</v>
      </c>
      <c r="C10" s="10">
        <f>(B10-B8)/B8</f>
        <v>0.00675675675675676</v>
      </c>
      <c r="D10" s="10">
        <f>(A10*9.8/1000)/(C4)</f>
        <v>17966.6666666667</v>
      </c>
    </row>
    <row r="11" spans="1:4">
      <c r="A11" s="10">
        <v>105</v>
      </c>
      <c r="B11" s="10">
        <v>75</v>
      </c>
      <c r="C11" s="10">
        <f>(B11-B8)/B8</f>
        <v>0.0135135135135135</v>
      </c>
      <c r="D11" s="10">
        <f>(A11*9.8/1000)/(C4)</f>
        <v>34300</v>
      </c>
    </row>
    <row r="12" spans="1:4">
      <c r="A12" s="10">
        <v>155</v>
      </c>
      <c r="B12" s="10">
        <v>75.5</v>
      </c>
      <c r="C12" s="10">
        <f>(B12-B8)/B8</f>
        <v>0.0202702702702703</v>
      </c>
      <c r="D12" s="10">
        <f>(A12*9.8/1000)/(C4)</f>
        <v>50633.3333333333</v>
      </c>
    </row>
    <row r="13" spans="1:4">
      <c r="A13" s="10">
        <v>205</v>
      </c>
      <c r="B13" s="10">
        <v>76</v>
      </c>
      <c r="C13" s="10">
        <f>(B13-B8)/B8</f>
        <v>0.027027027027027</v>
      </c>
      <c r="D13" s="10">
        <f>(A13*9.8/1000)/(C4)</f>
        <v>66966.6666666667</v>
      </c>
    </row>
    <row r="14" spans="1:4">
      <c r="A14" s="10">
        <v>255</v>
      </c>
      <c r="B14" s="10">
        <v>77.5</v>
      </c>
      <c r="C14" s="10">
        <f>(B14-B8)/B8</f>
        <v>0.0472972972972973</v>
      </c>
      <c r="D14" s="10">
        <f>(A14*9.8/1000)/(C4)</f>
        <v>83300</v>
      </c>
    </row>
    <row r="15" spans="1:4">
      <c r="A15" s="10">
        <v>305</v>
      </c>
      <c r="B15" s="10">
        <v>79</v>
      </c>
      <c r="C15" s="10">
        <f>(B15-B8)/B8</f>
        <v>0.0675675675675676</v>
      </c>
      <c r="D15" s="10">
        <f>(A15*9.8/1000)/(C4)</f>
        <v>99633.3333333333</v>
      </c>
    </row>
    <row r="16" spans="1:4">
      <c r="A16" s="10">
        <v>326</v>
      </c>
      <c r="B16" s="10">
        <v>80.5</v>
      </c>
      <c r="C16" s="10">
        <f>(B16-B8)/B8</f>
        <v>0.0878378378378378</v>
      </c>
      <c r="D16" s="10">
        <f>(A16*9.8/1000)/(C4)</f>
        <v>106493.333333333</v>
      </c>
    </row>
    <row r="17" spans="1:4">
      <c r="A17" s="10">
        <v>372</v>
      </c>
      <c r="B17" s="10">
        <v>82.5</v>
      </c>
      <c r="C17" s="10">
        <f>(B17-B8)/B8</f>
        <v>0.114864864864865</v>
      </c>
      <c r="D17" s="10">
        <f>(A17*9.8/1000)/(C4)</f>
        <v>121520</v>
      </c>
    </row>
    <row r="18" spans="1:4">
      <c r="A18" s="10">
        <v>392</v>
      </c>
      <c r="B18" s="10">
        <v>84</v>
      </c>
      <c r="C18" s="10">
        <f>(B18-B8)/B8</f>
        <v>0.135135135135135</v>
      </c>
      <c r="D18" s="10">
        <f>(A18*9.8/1000)/(C4)</f>
        <v>128053.333333333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929712.186406246</v>
      </c>
    </row>
    <row r="23" spans="2:3">
      <c r="B23">
        <f>STEYX(D8:D18,C8:C18)</f>
        <v>16622.9547700986</v>
      </c>
      <c r="C23">
        <v>930000</v>
      </c>
    </row>
    <row r="24" spans="2:3">
      <c r="B24">
        <f>1.96*B23</f>
        <v>32580.9913493932</v>
      </c>
      <c r="C24">
        <v>30000</v>
      </c>
    </row>
  </sheetData>
  <pageMargins left="0.7" right="0.7" top="0.75" bottom="0.75" header="0.3" footer="0.3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D24"/>
  <sheetViews>
    <sheetView workbookViewId="0">
      <selection activeCell="C8" sqref="C8:D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81</v>
      </c>
    </row>
    <row r="2" ht="14.4" spans="1:2">
      <c r="A2" s="3" t="s">
        <v>2</v>
      </c>
      <c r="B2" s="4"/>
    </row>
    <row r="3" spans="1:3">
      <c r="A3" s="5" t="s">
        <v>3</v>
      </c>
      <c r="B3" s="19">
        <v>13.5</v>
      </c>
      <c r="C3" s="7" t="s">
        <v>4</v>
      </c>
    </row>
    <row r="4" spans="1:3">
      <c r="A4" s="8" t="s">
        <v>5</v>
      </c>
      <c r="B4" s="9">
        <v>3</v>
      </c>
      <c r="C4" s="10">
        <f>(B3/1000)*(B4/1000)</f>
        <v>4.05e-5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20">
        <v>0</v>
      </c>
      <c r="B8" s="21">
        <v>78.5</v>
      </c>
      <c r="C8" s="22">
        <v>0</v>
      </c>
      <c r="D8" s="22">
        <v>0</v>
      </c>
    </row>
    <row r="9" spans="1:4">
      <c r="A9" s="10">
        <v>4.9</v>
      </c>
      <c r="B9" s="10">
        <v>78.5</v>
      </c>
      <c r="C9" s="22">
        <f>(B9-B8)/B8</f>
        <v>0</v>
      </c>
      <c r="D9" s="22">
        <f>(A9*9.8/1000)/(C4)</f>
        <v>1185.67901234568</v>
      </c>
    </row>
    <row r="10" spans="1:4">
      <c r="A10" s="10">
        <v>54.9</v>
      </c>
      <c r="B10" s="10">
        <v>79.5</v>
      </c>
      <c r="C10" s="10">
        <f>(B10-B8)/B8</f>
        <v>0.0127388535031847</v>
      </c>
      <c r="D10" s="10">
        <f>(A10*9.8/1000)/(C4)</f>
        <v>13284.4444444444</v>
      </c>
    </row>
    <row r="11" spans="1:4">
      <c r="A11" s="10">
        <v>104.9</v>
      </c>
      <c r="B11" s="10">
        <v>80.1</v>
      </c>
      <c r="C11" s="10">
        <f>(B11-B8)/B8</f>
        <v>0.0203821656050955</v>
      </c>
      <c r="D11" s="10">
        <f>(A11*9.8/1000)/(C4)</f>
        <v>25383.2098765432</v>
      </c>
    </row>
    <row r="12" spans="1:4">
      <c r="A12" s="10">
        <v>204.9</v>
      </c>
      <c r="B12" s="10">
        <v>81</v>
      </c>
      <c r="C12" s="10">
        <f>(B12-B8)/B8</f>
        <v>0.0318471337579618</v>
      </c>
      <c r="D12" s="10">
        <f>(A12*9.8/1000)/(C4)</f>
        <v>49580.7407407407</v>
      </c>
    </row>
    <row r="13" spans="1:4">
      <c r="A13" s="10">
        <v>304.9</v>
      </c>
      <c r="B13" s="10">
        <v>82.1</v>
      </c>
      <c r="C13" s="10">
        <f>(B13-B8)/B8</f>
        <v>0.0458598726114649</v>
      </c>
      <c r="D13" s="10">
        <f>(A13*9.8/1000)/(C4)</f>
        <v>73778.2716049383</v>
      </c>
    </row>
    <row r="14" spans="1:4">
      <c r="A14" s="10">
        <v>404.9</v>
      </c>
      <c r="B14" s="10">
        <v>82.8</v>
      </c>
      <c r="C14" s="10">
        <f>(B14-B8)/B8</f>
        <v>0.0547770700636942</v>
      </c>
      <c r="D14" s="10">
        <f>(A14*9.8/1000)/(C4)</f>
        <v>97975.8024691358</v>
      </c>
    </row>
    <row r="15" spans="1:4">
      <c r="A15" s="10">
        <v>504.9</v>
      </c>
      <c r="B15" s="10">
        <v>83.2</v>
      </c>
      <c r="C15" s="10">
        <f>(B15-B8)/B8</f>
        <v>0.0598726114649682</v>
      </c>
      <c r="D15" s="10">
        <f>(A15*9.8/1000)/(C4)</f>
        <v>122173.333333333</v>
      </c>
    </row>
    <row r="16" spans="1:4">
      <c r="A16" s="10">
        <v>704.9</v>
      </c>
      <c r="B16" s="10">
        <v>84.2</v>
      </c>
      <c r="C16" s="10">
        <f>(B16-B8)/B8</f>
        <v>0.0726114649681529</v>
      </c>
      <c r="D16" s="10">
        <f>(A16*9.8/1000)/(C4)</f>
        <v>170568.395061728</v>
      </c>
    </row>
    <row r="17" spans="1:4">
      <c r="A17" s="10">
        <v>904.9</v>
      </c>
      <c r="B17" s="10">
        <v>85.5</v>
      </c>
      <c r="C17" s="10">
        <f>(B17-B8)/B8</f>
        <v>0.089171974522293</v>
      </c>
      <c r="D17" s="10">
        <f>(A17*9.8/1000)/(C4)</f>
        <v>218963.456790123</v>
      </c>
    </row>
    <row r="18" spans="1:4">
      <c r="A18" s="10">
        <v>1104.9</v>
      </c>
      <c r="B18" s="10">
        <v>87.5</v>
      </c>
      <c r="C18" s="10">
        <f>(B18-B8)/B8</f>
        <v>0.114649681528662</v>
      </c>
      <c r="D18" s="10">
        <f>(A18*9.8/1000)/(C4)</f>
        <v>267358.518518519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16</v>
      </c>
      <c r="C21" s="10">
        <f>SLOPE(D8:D18,C8:C18)</f>
        <v>2431621.06544741</v>
      </c>
    </row>
    <row r="23" spans="2:3">
      <c r="B23">
        <f>STEYX(D8:D18,C8:C18)</f>
        <v>15299.7747770018</v>
      </c>
      <c r="C23">
        <v>2430000</v>
      </c>
    </row>
    <row r="24" spans="2:3">
      <c r="B24">
        <f>1.96*B23</f>
        <v>29987.5585629236</v>
      </c>
      <c r="C24">
        <v>30000</v>
      </c>
    </row>
  </sheetData>
  <pageMargins left="0.7" right="0.7" top="0.75" bottom="0.75" header="0.3" footer="0.3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D24"/>
  <sheetViews>
    <sheetView tabSelected="1" workbookViewId="0">
      <selection activeCell="J19" sqref="J19"/>
    </sheetView>
  </sheetViews>
  <sheetFormatPr defaultColWidth="9" defaultRowHeight="13.8" outlineLevelCol="3"/>
  <cols>
    <col min="1" max="1" width="18.5555555555556" customWidth="1"/>
    <col min="2" max="2" width="21" customWidth="1"/>
    <col min="3" max="3" width="24" customWidth="1"/>
    <col min="4" max="4" width="28.3333333333333" customWidth="1"/>
  </cols>
  <sheetData>
    <row r="1" ht="14.4" spans="1:2">
      <c r="A1" s="1" t="s">
        <v>0</v>
      </c>
      <c r="B1" s="2" t="s">
        <v>82</v>
      </c>
    </row>
    <row r="2" ht="14.4" spans="1:2">
      <c r="A2" s="3" t="s">
        <v>2</v>
      </c>
      <c r="B2" s="4"/>
    </row>
    <row r="3" spans="1:3">
      <c r="A3" s="5" t="s">
        <v>3</v>
      </c>
      <c r="B3" s="6">
        <v>20.8</v>
      </c>
      <c r="C3" s="7" t="s">
        <v>4</v>
      </c>
    </row>
    <row r="4" spans="1:3">
      <c r="A4" s="8" t="s">
        <v>5</v>
      </c>
      <c r="B4" s="9">
        <v>2.8</v>
      </c>
      <c r="C4" s="10">
        <f>(B3/1000)*(B4/1000)</f>
        <v>5.824e-5</v>
      </c>
    </row>
    <row r="5" spans="1:2">
      <c r="A5" s="11"/>
      <c r="B5" s="11"/>
    </row>
    <row r="6" spans="1:2">
      <c r="A6" s="12" t="s">
        <v>6</v>
      </c>
      <c r="B6" s="12" t="s">
        <v>7</v>
      </c>
    </row>
    <row r="7" spans="1:4">
      <c r="A7" s="13" t="s">
        <v>8</v>
      </c>
      <c r="B7" s="14" t="s">
        <v>9</v>
      </c>
      <c r="C7" s="7" t="s">
        <v>10</v>
      </c>
      <c r="D7" s="7" t="s">
        <v>11</v>
      </c>
    </row>
    <row r="8" spans="1:4">
      <c r="A8" s="15">
        <v>0</v>
      </c>
      <c r="B8" s="16">
        <v>81</v>
      </c>
      <c r="C8" s="10">
        <v>0</v>
      </c>
      <c r="D8" s="10">
        <v>0</v>
      </c>
    </row>
    <row r="9" spans="1:4">
      <c r="A9" s="17">
        <v>5</v>
      </c>
      <c r="B9" s="18">
        <v>81</v>
      </c>
      <c r="C9" s="10">
        <f>(B9-B8)/B8</f>
        <v>0</v>
      </c>
      <c r="D9" s="10">
        <f>(A9*9.8/1000)/(C4)</f>
        <v>841.346153846154</v>
      </c>
    </row>
    <row r="10" spans="1:4">
      <c r="A10" s="17">
        <v>55</v>
      </c>
      <c r="B10" s="18">
        <v>82.5</v>
      </c>
      <c r="C10" s="10">
        <f>(B10-B8)/B8</f>
        <v>0.0185185185185185</v>
      </c>
      <c r="D10" s="10">
        <f>(A10*9.8/1000)/(C4)</f>
        <v>9254.80769230769</v>
      </c>
    </row>
    <row r="11" spans="1:4">
      <c r="A11" s="17">
        <v>105</v>
      </c>
      <c r="B11" s="18">
        <v>83.2</v>
      </c>
      <c r="C11" s="10">
        <f>(B11-B8)/B8</f>
        <v>0.0271604938271605</v>
      </c>
      <c r="D11" s="10">
        <f>(A11*9.8/1000)/(C4)</f>
        <v>17668.2692307692</v>
      </c>
    </row>
    <row r="12" spans="1:4">
      <c r="A12" s="17">
        <v>155</v>
      </c>
      <c r="B12" s="18">
        <v>84</v>
      </c>
      <c r="C12" s="10">
        <f>(B12-B8)/B8</f>
        <v>0.037037037037037</v>
      </c>
      <c r="D12" s="10">
        <f>(A12*9.8/1000)/(C4)</f>
        <v>26081.7307692308</v>
      </c>
    </row>
    <row r="13" spans="1:4">
      <c r="A13" s="17">
        <v>255</v>
      </c>
      <c r="B13" s="18">
        <v>85.5</v>
      </c>
      <c r="C13" s="10">
        <f>(B13-B8)/B8</f>
        <v>0.0555555555555556</v>
      </c>
      <c r="D13" s="10">
        <f>(A13*9.8/1000)/(C4)</f>
        <v>42908.6538461539</v>
      </c>
    </row>
    <row r="14" spans="1:4">
      <c r="A14" s="17">
        <v>355</v>
      </c>
      <c r="B14" s="18">
        <v>87.4</v>
      </c>
      <c r="C14" s="10">
        <f>(B14-B8)/B8</f>
        <v>0.0790123456790124</v>
      </c>
      <c r="D14" s="10">
        <f>(A14*9.8/1000)/(C4)</f>
        <v>59735.5769230769</v>
      </c>
    </row>
    <row r="15" spans="1:4">
      <c r="A15" s="17">
        <v>455</v>
      </c>
      <c r="B15" s="18">
        <v>88.5</v>
      </c>
      <c r="C15" s="10">
        <f>(B15-B8)/B8</f>
        <v>0.0925925925925926</v>
      </c>
      <c r="D15" s="10">
        <f>(A15*9.8/1000)/(C4)</f>
        <v>76562.5</v>
      </c>
    </row>
    <row r="16" spans="1:4">
      <c r="A16" s="17">
        <v>505</v>
      </c>
      <c r="B16" s="18">
        <v>89</v>
      </c>
      <c r="C16" s="10">
        <f>(B16-B8)/B8</f>
        <v>0.0987654320987654</v>
      </c>
      <c r="D16" s="10">
        <f>(A16*9.8/1000)/(C4)</f>
        <v>84975.9615384615</v>
      </c>
    </row>
    <row r="17" spans="1:4">
      <c r="A17" s="17">
        <v>555</v>
      </c>
      <c r="B17" s="18">
        <v>89.9</v>
      </c>
      <c r="C17" s="10">
        <f>(B17-B8)/B8</f>
        <v>0.109876543209877</v>
      </c>
      <c r="D17" s="10">
        <f>(A17*9.8/1000)/(C4)</f>
        <v>93389.4230769231</v>
      </c>
    </row>
    <row r="18" spans="1:4">
      <c r="A18" s="17">
        <v>655</v>
      </c>
      <c r="B18" s="18">
        <v>91.8</v>
      </c>
      <c r="C18" s="10">
        <f>(B18-B8)/B8</f>
        <v>0.133333333333333</v>
      </c>
      <c r="D18" s="10">
        <f>(A18*9.8/1000)/(C4)</f>
        <v>110216.346153846</v>
      </c>
    </row>
    <row r="20" spans="1:3">
      <c r="A20" s="7" t="s">
        <v>12</v>
      </c>
      <c r="B20" s="10" t="s">
        <v>19</v>
      </c>
      <c r="C20" s="7" t="s">
        <v>14</v>
      </c>
    </row>
    <row r="21" spans="1:3">
      <c r="A21" s="7" t="s">
        <v>15</v>
      </c>
      <c r="B21" s="10" t="s">
        <v>20</v>
      </c>
      <c r="C21" s="10">
        <f>SLOPE(D8:D18,C8:C18)</f>
        <v>855417.481917911</v>
      </c>
    </row>
    <row r="23" spans="2:3">
      <c r="B23">
        <f>STEYX(D8:D18,C8:C18)</f>
        <v>3233.2551011017</v>
      </c>
      <c r="C23">
        <v>855000</v>
      </c>
    </row>
    <row r="24" spans="2:3">
      <c r="B24">
        <f>1.96*B23</f>
        <v>6337.17999815933</v>
      </c>
      <c r="C24">
        <v>10000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M1</vt:lpstr>
      <vt:lpstr>M2</vt:lpstr>
      <vt:lpstr>M3</vt:lpstr>
      <vt:lpstr>M4</vt:lpstr>
      <vt:lpstr>M5</vt:lpstr>
      <vt:lpstr>M6</vt:lpstr>
      <vt:lpstr>M7</vt:lpstr>
      <vt:lpstr>M8</vt:lpstr>
      <vt:lpstr>M9</vt:lpstr>
      <vt:lpstr>M10</vt:lpstr>
      <vt:lpstr>M11</vt:lpstr>
      <vt:lpstr>M12</vt:lpstr>
      <vt:lpstr>M13</vt:lpstr>
      <vt:lpstr>M14</vt:lpstr>
      <vt:lpstr>M15</vt:lpstr>
      <vt:lpstr>M16</vt:lpstr>
      <vt:lpstr>M17</vt:lpstr>
      <vt:lpstr>M18</vt:lpstr>
      <vt:lpstr>M19</vt:lpstr>
      <vt:lpstr>M20</vt:lpstr>
      <vt:lpstr>M21</vt:lpstr>
      <vt:lpstr>M22</vt:lpstr>
      <vt:lpstr>M23</vt:lpstr>
      <vt:lpstr>M24</vt:lpstr>
      <vt:lpstr>M25</vt:lpstr>
      <vt:lpstr>M26</vt:lpstr>
      <vt:lpstr>M27</vt:lpstr>
      <vt:lpstr>M28</vt:lpstr>
      <vt:lpstr>M29</vt:lpstr>
      <vt:lpstr>M30</vt:lpstr>
      <vt:lpstr>M31</vt:lpstr>
      <vt:lpstr>M32</vt:lpstr>
      <vt:lpstr>M33</vt:lpstr>
      <vt:lpstr>M34</vt:lpstr>
      <vt:lpstr>M35</vt:lpstr>
      <vt:lpstr>M36</vt:lpstr>
      <vt:lpstr>M37</vt:lpstr>
      <vt:lpstr>M38</vt:lpstr>
      <vt:lpstr>M39</vt:lpstr>
      <vt:lpstr>M40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Cavalli</dc:creator>
  <cp:lastModifiedBy>v</cp:lastModifiedBy>
  <dcterms:created xsi:type="dcterms:W3CDTF">2018-09-04T14:04:00Z</dcterms:created>
  <dcterms:modified xsi:type="dcterms:W3CDTF">2023-03-04T07:20:11Z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8F0F46FE1B21414EBB7F6512A93B18A9</vt:lpwstr>
  </property>
  <property fmtid="{D5CDD505-2E9C-101B-9397-08002B2CF9AE}" pid="3" name="KSOProductBuildVer">
    <vt:lpwstr>2052-11.1.0.12763</vt:lpwstr>
  </property>
</Properties>
</file>