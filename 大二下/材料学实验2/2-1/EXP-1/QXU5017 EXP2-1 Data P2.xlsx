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colors10.xml" ContentType="application/vnd.ms-office.chartcolorstyle+xml"/>
  <Override PartName="/xl/charts/colors11.xml" ContentType="application/vnd.ms-office.chartcolorstyle+xml"/>
  <Override PartName="/xl/charts/colors12.xml" ContentType="application/vnd.ms-office.chartcolorstyle+xml"/>
  <Override PartName="/xl/charts/colors13.xml" ContentType="application/vnd.ms-office.chartcolorstyle+xml"/>
  <Override PartName="/xl/charts/colors14.xml" ContentType="application/vnd.ms-office.chartcolorstyle+xml"/>
  <Override PartName="/xl/charts/colors15.xml" ContentType="application/vnd.ms-office.chartcolorstyle+xml"/>
  <Override PartName="/xl/charts/colors16.xml" ContentType="application/vnd.ms-office.chartcolorstyle+xml"/>
  <Override PartName="/xl/charts/colors17.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colors9.xml" ContentType="application/vnd.ms-office.chartcolorstyle+xml"/>
  <Override PartName="/xl/charts/style1.xml" ContentType="application/vnd.ms-office.chartstyle+xml"/>
  <Override PartName="/xl/charts/style10.xml" ContentType="application/vnd.ms-office.chartstyle+xml"/>
  <Override PartName="/xl/charts/style11.xml" ContentType="application/vnd.ms-office.chartstyle+xml"/>
  <Override PartName="/xl/charts/style12.xml" ContentType="application/vnd.ms-office.chartstyle+xml"/>
  <Override PartName="/xl/charts/style13.xml" ContentType="application/vnd.ms-office.chartstyle+xml"/>
  <Override PartName="/xl/charts/style14.xml" ContentType="application/vnd.ms-office.chartstyle+xml"/>
  <Override PartName="/xl/charts/style15.xml" ContentType="application/vnd.ms-office.chartstyle+xml"/>
  <Override PartName="/xl/charts/style16.xml" ContentType="application/vnd.ms-office.chartstyle+xml"/>
  <Override PartName="/xl/charts/style17.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charts/style9.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2368" windowHeight="9300" firstSheet="5" activeTab="8"/>
  </bookViews>
  <sheets>
    <sheet name="SampleA Unmodified Material Gro" sheetId="3" r:id="rId1"/>
    <sheet name="SampleB Unmodified Polymer Grou" sheetId="4" r:id="rId2"/>
    <sheet name="SampleC Modified Material Group" sheetId="5" r:id="rId3"/>
    <sheet name="SampleD Modified Polymer Group" sheetId="6" r:id="rId4"/>
    <sheet name="normal distribution UN-poly" sheetId="1" r:id="rId5"/>
    <sheet name="normal distribution UN-mat" sheetId="2" r:id="rId6"/>
    <sheet name="section5 t-test" sheetId="8" r:id="rId7"/>
    <sheet name="section6 t-test-modified" sheetId="9" r:id="rId8"/>
    <sheet name="section7 z-test" sheetId="7" r:id="rId9"/>
    <sheet name="M2" sheetId="10" r:id="rId10"/>
    <sheet name="M6" sheetId="11" r:id="rId11"/>
    <sheet name="M11" sheetId="12" r:id="rId12"/>
    <sheet name="M30" sheetId="13" r:id="rId13"/>
    <sheet name="M35" sheetId="14" r:id="rId14"/>
    <sheet name="M40" sheetId="15" r:id="rId15"/>
    <sheet name="P2" sheetId="16" r:id="rId16"/>
    <sheet name="P5" sheetId="17" r:id="rId17"/>
    <sheet name="P8" sheetId="18" r:id="rId18"/>
    <sheet name="P12" sheetId="19" r:id="rId19"/>
    <sheet name="P13" sheetId="20" r:id="rId20"/>
    <sheet name="P22" sheetId="21" r:id="rId21"/>
    <sheet name="P24" sheetId="22" r:id="rId22"/>
    <sheet name="P37" sheetId="23" r:id="rId23"/>
    <sheet name="PB" sheetId="24" r:id="rId24"/>
  </sheets>
  <externalReferences>
    <externalReference r:id="rId25"/>
  </externalReferences>
  <definedNames>
    <definedName name="coord" localSheetId="4">OFFSET('normal distribution UN-poly'!$I$1,1,,'normal distribution UN-poly'!$F$4)</definedName>
    <definedName name="Coordm" localSheetId="5">OFFSET('normal distribution UN-mat'!$I$1,1,,'normal distribution UN-mat'!$F$4)</definedName>
    <definedName name="Frequency" localSheetId="4">OFFSET('normal distribution UN-poly'!$J$1,1,,'normal distribution UN-poly'!$F$4)</definedName>
    <definedName name="Frequencym" localSheetId="5">OFFSET('normal distribution UN-mat'!$J$1,1,,'normal distribution UN-mat'!$F$4)</definedName>
    <definedName name="Norm" localSheetId="4">OFFSET('normal distribution UN-poly'!$K$1,1,,'normal distribution UN-poly'!$F$4)</definedName>
    <definedName name="Normm" localSheetId="5">OFFSET('normal distribution UN-mat'!$K$1,1,,'normal distribution UN-mat'!$F$4)</definedName>
    <definedName name="_xlchart.v1.0" hidden="1">'[1]Normal distri UN-poly'!$D$1:$D$41</definedName>
  </definedNames>
  <calcPr calcId="144525"/>
</workbook>
</file>

<file path=xl/sharedStrings.xml><?xml version="1.0" encoding="utf-8"?>
<sst xmlns="http://schemas.openxmlformats.org/spreadsheetml/2006/main" count="614" uniqueCount="176">
  <si>
    <t>Raw Data</t>
  </si>
  <si>
    <t>Modified Data</t>
  </si>
  <si>
    <t>Group</t>
  </si>
  <si>
    <t>Modulus(Pa)</t>
  </si>
  <si>
    <t>Significant figure(KPa)</t>
  </si>
  <si>
    <t>Error(Kpa)</t>
  </si>
  <si>
    <t>MEAN(KPa)</t>
  </si>
  <si>
    <t>MODE(KPa)</t>
  </si>
  <si>
    <t>MEDIAN(KPa)</t>
  </si>
  <si>
    <t>SD(KPa)</t>
  </si>
  <si>
    <t>SE(KPa)</t>
  </si>
  <si>
    <t>CI(KPa)</t>
  </si>
  <si>
    <t>frequency</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</si>
  <si>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</si>
  <si>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</si>
  <si>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</si>
  <si>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</si>
  <si>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</si>
  <si>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</si>
  <si>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</si>
  <si>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</si>
  <si>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</si>
  <si>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</si>
  <si>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</si>
  <si>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</si>
  <si>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</si>
  <si>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</si>
  <si>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</si>
  <si>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</si>
  <si>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</si>
  <si>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</si>
  <si>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</si>
  <si>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</si>
  <si>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</si>
  <si>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</si>
  <si>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</si>
  <si>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</si>
  <si>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</si>
  <si>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</si>
  <si>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</si>
  <si>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</si>
  <si>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</si>
  <si>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</si>
  <si>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</si>
  <si>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</si>
  <si>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</si>
  <si>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</si>
  <si>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</si>
  <si>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</si>
  <si>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</si>
  <si>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</si>
  <si>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</si>
  <si>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</si>
  <si>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P1</t>
  </si>
  <si>
    <t>P2</t>
  </si>
  <si>
    <t>P3</t>
  </si>
  <si>
    <t>P4</t>
  </si>
  <si>
    <t>P5</t>
  </si>
  <si>
    <t>P6</t>
  </si>
  <si>
    <t>P7</t>
  </si>
  <si>
    <t>P8</t>
  </si>
  <si>
    <t>P9</t>
  </si>
  <si>
    <t>P10</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</si>
  <si>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</si>
  <si>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</si>
  <si>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</si>
  <si>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</si>
  <si>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</si>
  <si>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</si>
  <si>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</si>
  <si>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</si>
  <si>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</si>
  <si>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</si>
  <si>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</si>
  <si>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</si>
  <si>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</si>
  <si>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</si>
  <si>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</si>
  <si>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</si>
  <si>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</si>
  <si>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</si>
  <si>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</si>
  <si>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</si>
  <si>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</si>
  <si>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</si>
  <si>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</si>
  <si>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</si>
  <si>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</si>
  <si>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</si>
  <si>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</si>
  <si>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</si>
  <si>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P39</t>
  </si>
  <si>
    <t>P40</t>
  </si>
  <si>
    <t>P41</t>
  </si>
  <si>
    <t>Raw Data=Modified Data</t>
  </si>
  <si>
    <t>概率</t>
  </si>
  <si>
    <t>MA</t>
  </si>
  <si>
    <t>-</t>
  </si>
  <si>
    <t>MB</t>
  </si>
  <si>
    <t>MC</t>
  </si>
  <si>
    <t>MD</t>
  </si>
  <si>
    <t>PA</t>
  </si>
  <si>
    <t>PB</t>
  </si>
  <si>
    <t>PC</t>
  </si>
  <si>
    <t>PD</t>
  </si>
  <si>
    <t>ARRANGE</t>
  </si>
  <si>
    <t>MEAN</t>
  </si>
  <si>
    <t>Group coordinate</t>
  </si>
  <si>
    <t>frequencey</t>
  </si>
  <si>
    <t>Normal distribution</t>
  </si>
  <si>
    <t>UNMODIFIED</t>
  </si>
  <si>
    <t>SD</t>
  </si>
  <si>
    <t>Number of groups</t>
  </si>
  <si>
    <t>MODE</t>
  </si>
  <si>
    <t>MEDIAN</t>
  </si>
  <si>
    <t>unmodified polymer</t>
  </si>
  <si>
    <t>unmodified material</t>
  </si>
  <si>
    <t>SD-m</t>
  </si>
  <si>
    <t>SD-p</t>
  </si>
  <si>
    <t>unit:kPa</t>
  </si>
  <si>
    <t>Mean</t>
  </si>
  <si>
    <t>Size</t>
  </si>
  <si>
    <t>T value</t>
  </si>
  <si>
    <t>squa</t>
  </si>
  <si>
    <t>Material</t>
  </si>
  <si>
    <t>Polymer</t>
  </si>
  <si>
    <t>mean-m</t>
  </si>
  <si>
    <t>mean-p</t>
  </si>
  <si>
    <t>size-m</t>
  </si>
  <si>
    <t>size-p</t>
  </si>
  <si>
    <t>modified material</t>
  </si>
  <si>
    <t>modified polymer</t>
  </si>
  <si>
    <t>material-unmodified</t>
  </si>
  <si>
    <t>material-modified</t>
  </si>
  <si>
    <t>polymer-unmodified</t>
  </si>
  <si>
    <t>polymer-modified</t>
  </si>
  <si>
    <t>SD of modified</t>
  </si>
  <si>
    <t>Mean of modified</t>
  </si>
  <si>
    <t>Mean of unmodified group</t>
  </si>
  <si>
    <t>Z-stand score</t>
  </si>
  <si>
    <t>polymer</t>
  </si>
  <si>
    <t>Sample Number:</t>
  </si>
  <si>
    <t>Cross-section dimensions:</t>
  </si>
  <si>
    <t>Width / mm:</t>
  </si>
  <si>
    <t>Area (m2)</t>
  </si>
  <si>
    <t>Thickness / mm:</t>
  </si>
  <si>
    <t xml:space="preserve">Weight applied </t>
  </si>
  <si>
    <t>Distance between marks</t>
  </si>
  <si>
    <t>unit = grams</t>
  </si>
  <si>
    <t>unit = mm</t>
  </si>
  <si>
    <t>Strain</t>
  </si>
  <si>
    <t>Stress</t>
  </si>
  <si>
    <t>Mass Resin</t>
  </si>
  <si>
    <t>60 g</t>
  </si>
  <si>
    <t>Modulus</t>
  </si>
  <si>
    <t>Mass Crosslinker</t>
  </si>
  <si>
    <t>6 g</t>
  </si>
  <si>
    <t>Errors caused by humans such as readings during measurement, exceeding elastic deformation, retain other data, and delete the last two lines</t>
  </si>
  <si>
    <t>59.7g</t>
  </si>
  <si>
    <t>6.1 g</t>
  </si>
  <si>
    <t>The weight is not accumulated, the weight is accumulated and caluculate the moduli value</t>
  </si>
  <si>
    <t>weight increased from 704, 1104 to 804, 1154 strain constant stress increased, error</t>
  </si>
  <si>
    <t>60g</t>
  </si>
  <si>
    <t>6.6 g</t>
  </si>
  <si>
    <t>The stress is small but the strain is very large, unconventionally delete the second line</t>
  </si>
  <si>
    <t>Thickness 20.8 is not normal, error</t>
  </si>
  <si>
    <t>Thickness record error, 25mm changed to 2.5mm</t>
  </si>
  <si>
    <t>5.9 g</t>
  </si>
  <si>
    <t>When 120.9weight, there is no strain and stress, which is counter logic, delete the second line</t>
  </si>
  <si>
    <t>weight increases from 104 to 154 strain constant stress increases, error</t>
  </si>
  <si>
    <t>One row of data is missing, there should be 11 rows of data in total</t>
  </si>
  <si>
    <t>The weight increases from 265 to 315, the strain does not change, the stress increases, error</t>
  </si>
  <si>
    <t>Polymers B</t>
  </si>
  <si>
    <t>The strain in the second row of data becomes negative, and the elongation of the second row is changed to be the same as the first row, and the strain change is 0</t>
  </si>
  <si>
    <t>Mass Urefil-3</t>
  </si>
  <si>
    <t>0.7 g</t>
  </si>
</sst>
</file>

<file path=xl/styles.xml><?xml version="1.0" encoding="utf-8"?>
<styleSheet xmlns="http://schemas.openxmlformats.org/spreadsheetml/2006/main">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_ "/>
  </numFmts>
  <fonts count="22">
    <font>
      <sz val="11"/>
      <color theme="1"/>
      <name val="等线"/>
      <charset val="134"/>
      <scheme val="minor"/>
    </font>
    <font>
      <b/>
      <sz val="11"/>
      <color indexed="8"/>
      <name val="Calibri"/>
      <charset val="134"/>
    </font>
    <font>
      <b/>
      <sz val="11"/>
      <color theme="1"/>
      <name val="等线"/>
      <charset val="134"/>
      <scheme val="minor"/>
    </font>
    <font>
      <sz val="11"/>
      <color theme="1"/>
      <name val="等线"/>
      <charset val="0"/>
      <scheme val="minor"/>
    </font>
    <font>
      <sz val="11"/>
      <color rgb="FF3F3F76"/>
      <name val="等线"/>
      <charset val="0"/>
      <scheme val="minor"/>
    </font>
    <font>
      <sz val="11"/>
      <color rgb="FF9C0006"/>
      <name val="等线"/>
      <charset val="0"/>
      <scheme val="minor"/>
    </font>
    <font>
      <sz val="11"/>
      <color theme="0"/>
      <name val="等线"/>
      <charset val="0"/>
      <scheme val="minor"/>
    </font>
    <font>
      <u/>
      <sz val="11"/>
      <color rgb="FF0000FF"/>
      <name val="等线"/>
      <charset val="0"/>
      <scheme val="minor"/>
    </font>
    <font>
      <u/>
      <sz val="11"/>
      <color rgb="FF800080"/>
      <name val="等线"/>
      <charset val="0"/>
      <scheme val="minor"/>
    </font>
    <font>
      <b/>
      <sz val="11"/>
      <color theme="3"/>
      <name val="等线"/>
      <charset val="134"/>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6500"/>
      <name val="等线"/>
      <charset val="0"/>
      <scheme val="minor"/>
    </font>
  </fonts>
  <fills count="37">
    <fill>
      <patternFill patternType="none"/>
    </fill>
    <fill>
      <patternFill patternType="gray125"/>
    </fill>
    <fill>
      <patternFill patternType="solid">
        <fgColor indexed="9"/>
        <bgColor indexed="64"/>
      </patternFill>
    </fill>
    <fill>
      <patternFill patternType="solid">
        <fgColor theme="7"/>
        <bgColor indexed="64"/>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rgb="FFFFC000"/>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28">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10"/>
      </right>
      <top style="thin">
        <color indexed="8"/>
      </top>
      <bottom style="thin">
        <color indexed="10"/>
      </bottom>
      <diagonal/>
    </border>
    <border>
      <left style="thin">
        <color indexed="10"/>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10"/>
      </left>
      <right/>
      <top style="thin">
        <color indexed="10"/>
      </top>
      <bottom style="thin">
        <color indexed="10"/>
      </bottom>
      <diagonal/>
    </border>
    <border>
      <left style="thin">
        <color auto="1"/>
      </left>
      <right style="thin">
        <color auto="1"/>
      </right>
      <top style="thin">
        <color auto="1"/>
      </top>
      <bottom style="thin">
        <color auto="1"/>
      </bottom>
      <diagonal/>
    </border>
    <border>
      <left style="thin">
        <color indexed="8"/>
      </left>
      <right style="thin">
        <color indexed="10"/>
      </right>
      <top style="thin">
        <color indexed="10"/>
      </top>
      <bottom style="thin">
        <color indexed="8"/>
      </bottom>
      <diagonal/>
    </border>
    <border>
      <left style="thin">
        <color indexed="10"/>
      </left>
      <right/>
      <top style="thin">
        <color indexed="10"/>
      </top>
      <bottom style="thin">
        <color indexed="8"/>
      </bottom>
      <diagonal/>
    </border>
    <border>
      <left style="thin">
        <color indexed="10"/>
      </left>
      <right style="thin">
        <color indexed="10"/>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8"/>
      </right>
      <top style="thin">
        <color indexed="10"/>
      </top>
      <bottom style="thin">
        <color indexed="8"/>
      </bottom>
      <diagonal/>
    </border>
    <border>
      <left style="thin">
        <color indexed="8"/>
      </left>
      <right/>
      <top style="thin">
        <color indexed="10"/>
      </top>
      <bottom style="thin">
        <color indexed="8"/>
      </bottom>
      <diagonal/>
    </border>
    <border>
      <left style="thin">
        <color auto="1"/>
      </left>
      <right style="thin">
        <color auto="1"/>
      </right>
      <top/>
      <bottom style="thin">
        <color auto="1"/>
      </bottom>
      <diagonal/>
    </border>
    <border>
      <left style="thin">
        <color indexed="8"/>
      </left>
      <right style="thin">
        <color indexed="8"/>
      </right>
      <top style="thin">
        <color indexed="10"/>
      </top>
      <bottom/>
      <diagonal/>
    </border>
    <border>
      <left style="thin">
        <color indexed="8"/>
      </left>
      <right/>
      <top style="thin">
        <color indexed="10"/>
      </top>
      <bottom/>
      <diagonal/>
    </border>
    <border>
      <left style="thin">
        <color indexed="10"/>
      </left>
      <right style="thin">
        <color indexed="8"/>
      </right>
      <top style="thin">
        <color indexed="10"/>
      </top>
      <bottom style="thin">
        <color indexed="10"/>
      </bottom>
      <diagonal/>
    </border>
    <border>
      <left style="thin">
        <color indexed="10"/>
      </left>
      <right style="thin">
        <color indexed="8"/>
      </right>
      <top style="thin">
        <color indexed="10"/>
      </top>
      <bottom style="thin">
        <color indexed="8"/>
      </bottom>
      <diagonal/>
    </border>
    <border>
      <left/>
      <right/>
      <top style="thin">
        <color auto="1"/>
      </top>
      <bottom style="thin">
        <color auto="1"/>
      </bottom>
      <diagonal/>
    </border>
    <border>
      <left style="thin">
        <color auto="1"/>
      </left>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Font="0" applyFill="0" applyBorder="0" applyAlignment="0" applyProtection="0">
      <alignment vertical="center"/>
    </xf>
    <xf numFmtId="0" fontId="3" fillId="8" borderId="0" applyNumberFormat="0" applyBorder="0" applyAlignment="0" applyProtection="0">
      <alignment vertical="center"/>
    </xf>
    <xf numFmtId="0" fontId="4" fillId="9" borderId="20"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3" fillId="10" borderId="0" applyNumberFormat="0" applyBorder="0" applyAlignment="0" applyProtection="0">
      <alignment vertical="center"/>
    </xf>
    <xf numFmtId="0" fontId="5" fillId="11" borderId="0" applyNumberFormat="0" applyBorder="0" applyAlignment="0" applyProtection="0">
      <alignment vertical="center"/>
    </xf>
    <xf numFmtId="43" fontId="0" fillId="0" borderId="0" applyFont="0" applyFill="0" applyBorder="0" applyAlignment="0" applyProtection="0">
      <alignment vertical="center"/>
    </xf>
    <xf numFmtId="0" fontId="6" fillId="12" borderId="0" applyNumberFormat="0" applyBorder="0" applyAlignment="0" applyProtection="0">
      <alignment vertical="center"/>
    </xf>
    <xf numFmtId="0" fontId="7" fillId="0" borderId="0" applyNumberForma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0" fillId="13" borderId="21" applyNumberFormat="0" applyFont="0" applyAlignment="0" applyProtection="0">
      <alignment vertical="center"/>
    </xf>
    <xf numFmtId="0" fontId="6" fillId="14" borderId="0" applyNumberFormat="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2" applyNumberFormat="0" applyFill="0" applyAlignment="0" applyProtection="0">
      <alignment vertical="center"/>
    </xf>
    <xf numFmtId="0" fontId="14" fillId="0" borderId="22" applyNumberFormat="0" applyFill="0" applyAlignment="0" applyProtection="0">
      <alignment vertical="center"/>
    </xf>
    <xf numFmtId="0" fontId="6" fillId="15" borderId="0" applyNumberFormat="0" applyBorder="0" applyAlignment="0" applyProtection="0">
      <alignment vertical="center"/>
    </xf>
    <xf numFmtId="0" fontId="9" fillId="0" borderId="23" applyNumberFormat="0" applyFill="0" applyAlignment="0" applyProtection="0">
      <alignment vertical="center"/>
    </xf>
    <xf numFmtId="0" fontId="6" fillId="16" borderId="0" applyNumberFormat="0" applyBorder="0" applyAlignment="0" applyProtection="0">
      <alignment vertical="center"/>
    </xf>
    <xf numFmtId="0" fontId="15" fillId="17" borderId="24" applyNumberFormat="0" applyAlignment="0" applyProtection="0">
      <alignment vertical="center"/>
    </xf>
    <xf numFmtId="0" fontId="16" fillId="17" borderId="20" applyNumberFormat="0" applyAlignment="0" applyProtection="0">
      <alignment vertical="center"/>
    </xf>
    <xf numFmtId="0" fontId="17" fillId="18" borderId="25" applyNumberFormat="0" applyAlignment="0" applyProtection="0">
      <alignment vertical="center"/>
    </xf>
    <xf numFmtId="0" fontId="3" fillId="19" borderId="0" applyNumberFormat="0" applyBorder="0" applyAlignment="0" applyProtection="0">
      <alignment vertical="center"/>
    </xf>
    <xf numFmtId="0" fontId="6" fillId="20" borderId="0" applyNumberFormat="0" applyBorder="0" applyAlignment="0" applyProtection="0">
      <alignment vertical="center"/>
    </xf>
    <xf numFmtId="0" fontId="18" fillId="0" borderId="26" applyNumberFormat="0" applyFill="0" applyAlignment="0" applyProtection="0">
      <alignment vertical="center"/>
    </xf>
    <xf numFmtId="0" fontId="19" fillId="0" borderId="27" applyNumberFormat="0" applyFill="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3" fillId="23" borderId="0" applyNumberFormat="0" applyBorder="0" applyAlignment="0" applyProtection="0">
      <alignment vertical="center"/>
    </xf>
    <xf numFmtId="0" fontId="6" fillId="6" borderId="0" applyNumberFormat="0" applyBorder="0" applyAlignment="0" applyProtection="0">
      <alignment vertical="center"/>
    </xf>
    <xf numFmtId="0" fontId="3" fillId="24" borderId="0" applyNumberFormat="0" applyBorder="0" applyAlignment="0" applyProtection="0">
      <alignment vertical="center"/>
    </xf>
    <xf numFmtId="0" fontId="3" fillId="25"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6" fillId="28" borderId="0" applyNumberFormat="0" applyBorder="0" applyAlignment="0" applyProtection="0">
      <alignment vertical="center"/>
    </xf>
    <xf numFmtId="0" fontId="6" fillId="3" borderId="0" applyNumberFormat="0" applyBorder="0" applyAlignment="0" applyProtection="0">
      <alignment vertical="center"/>
    </xf>
    <xf numFmtId="0" fontId="3" fillId="29" borderId="0" applyNumberFormat="0" applyBorder="0" applyAlignment="0" applyProtection="0">
      <alignment vertical="center"/>
    </xf>
    <xf numFmtId="0" fontId="3" fillId="30" borderId="0" applyNumberFormat="0" applyBorder="0" applyAlignment="0" applyProtection="0">
      <alignment vertical="center"/>
    </xf>
    <xf numFmtId="0" fontId="6" fillId="31" borderId="0" applyNumberFormat="0" applyBorder="0" applyAlignment="0" applyProtection="0">
      <alignment vertical="center"/>
    </xf>
    <xf numFmtId="0" fontId="3" fillId="32" borderId="0" applyNumberFormat="0" applyBorder="0" applyAlignment="0" applyProtection="0">
      <alignment vertical="center"/>
    </xf>
    <xf numFmtId="0" fontId="6" fillId="33" borderId="0" applyNumberFormat="0" applyBorder="0" applyAlignment="0" applyProtection="0">
      <alignment vertical="center"/>
    </xf>
    <xf numFmtId="0" fontId="6" fillId="34" borderId="0" applyNumberFormat="0" applyBorder="0" applyAlignment="0" applyProtection="0">
      <alignment vertical="center"/>
    </xf>
    <xf numFmtId="0" fontId="3" fillId="35" borderId="0" applyNumberFormat="0" applyBorder="0" applyAlignment="0" applyProtection="0">
      <alignment vertical="center"/>
    </xf>
    <xf numFmtId="0" fontId="6" fillId="36" borderId="0" applyNumberFormat="0" applyBorder="0" applyAlignment="0" applyProtection="0">
      <alignment vertical="center"/>
    </xf>
  </cellStyleXfs>
  <cellXfs count="98">
    <xf numFmtId="0" fontId="0" fillId="0" borderId="0" xfId="0"/>
    <xf numFmtId="49" fontId="1" fillId="2" borderId="1" xfId="0" applyNumberFormat="1" applyFont="1" applyFill="1" applyBorder="1"/>
    <xf numFmtId="49" fontId="0" fillId="3" borderId="1" xfId="0" applyNumberFormat="1" applyFill="1" applyBorder="1"/>
    <xf numFmtId="49" fontId="1" fillId="2" borderId="2" xfId="0" applyNumberFormat="1" applyFont="1" applyFill="1" applyBorder="1"/>
    <xf numFmtId="0" fontId="0" fillId="2" borderId="3" xfId="0" applyFill="1" applyBorder="1"/>
    <xf numFmtId="49" fontId="0" fillId="2" borderId="4" xfId="0" applyNumberFormat="1" applyFill="1" applyBorder="1"/>
    <xf numFmtId="0" fontId="0" fillId="2" borderId="5" xfId="0" applyFill="1" applyBorder="1"/>
    <xf numFmtId="0" fontId="2" fillId="0" borderId="6" xfId="0" applyFont="1" applyBorder="1"/>
    <xf numFmtId="49" fontId="0" fillId="2" borderId="7" xfId="0" applyNumberFormat="1" applyFill="1" applyBorder="1"/>
    <xf numFmtId="0" fontId="0" fillId="2" borderId="8" xfId="0" applyFill="1" applyBorder="1"/>
    <xf numFmtId="0" fontId="0" fillId="0" borderId="6" xfId="0" applyBorder="1"/>
    <xf numFmtId="0" fontId="0" fillId="2" borderId="9" xfId="0" applyFill="1" applyBorder="1"/>
    <xf numFmtId="49" fontId="2" fillId="2" borderId="10" xfId="0" applyNumberFormat="1" applyFont="1" applyFill="1" applyBorder="1"/>
    <xf numFmtId="49" fontId="2" fillId="2" borderId="11" xfId="0" applyNumberFormat="1" applyFont="1" applyFill="1" applyBorder="1"/>
    <xf numFmtId="49" fontId="2" fillId="2" borderId="12" xfId="0" applyNumberFormat="1" applyFont="1" applyFill="1" applyBorder="1"/>
    <xf numFmtId="0" fontId="0" fillId="0" borderId="13" xfId="0" applyBorder="1"/>
    <xf numFmtId="0" fontId="0" fillId="3" borderId="6" xfId="0" applyFill="1" applyBorder="1"/>
    <xf numFmtId="0" fontId="0" fillId="0" borderId="0" xfId="0" applyFont="1" applyFill="1" applyBorder="1"/>
    <xf numFmtId="49" fontId="0" fillId="2" borderId="1" xfId="0" applyNumberFormat="1" applyFill="1" applyBorder="1"/>
    <xf numFmtId="0" fontId="0" fillId="0" borderId="6" xfId="0" applyFill="1" applyBorder="1"/>
    <xf numFmtId="0" fontId="0" fillId="4" borderId="6" xfId="0" applyFill="1" applyBorder="1"/>
    <xf numFmtId="49" fontId="2" fillId="2" borderId="14" xfId="0" applyNumberFormat="1" applyFont="1" applyFill="1" applyBorder="1"/>
    <xf numFmtId="49" fontId="2" fillId="2" borderId="15" xfId="0" applyNumberFormat="1" applyFont="1" applyFill="1" applyBorder="1"/>
    <xf numFmtId="49" fontId="0" fillId="0" borderId="6" xfId="0" applyNumberFormat="1" applyBorder="1"/>
    <xf numFmtId="49" fontId="0" fillId="4" borderId="1" xfId="0" applyNumberFormat="1" applyFill="1" applyBorder="1"/>
    <xf numFmtId="176" fontId="0" fillId="0" borderId="13" xfId="0" applyNumberFormat="1" applyBorder="1"/>
    <xf numFmtId="176" fontId="0" fillId="0" borderId="6" xfId="0" applyNumberFormat="1" applyBorder="1"/>
    <xf numFmtId="176" fontId="0" fillId="3" borderId="6" xfId="0" applyNumberFormat="1" applyFill="1" applyBorder="1"/>
    <xf numFmtId="0" fontId="0" fillId="4" borderId="13" xfId="0" applyFill="1" applyBorder="1"/>
    <xf numFmtId="49" fontId="1" fillId="4" borderId="1" xfId="0" applyNumberFormat="1" applyFont="1" applyFill="1" applyBorder="1"/>
    <xf numFmtId="0" fontId="0" fillId="4" borderId="0" xfId="0" applyFill="1"/>
    <xf numFmtId="49" fontId="1" fillId="4" borderId="2" xfId="0" applyNumberFormat="1" applyFont="1" applyFill="1" applyBorder="1"/>
    <xf numFmtId="0" fontId="0" fillId="4" borderId="3" xfId="0" applyFill="1" applyBorder="1"/>
    <xf numFmtId="49" fontId="0" fillId="4" borderId="4" xfId="0" applyNumberFormat="1" applyFill="1" applyBorder="1"/>
    <xf numFmtId="0" fontId="0" fillId="4" borderId="5" xfId="0" applyFill="1" applyBorder="1"/>
    <xf numFmtId="0" fontId="2" fillId="4" borderId="6" xfId="0" applyFont="1" applyFill="1" applyBorder="1"/>
    <xf numFmtId="49" fontId="0" fillId="4" borderId="7" xfId="0" applyNumberFormat="1" applyFill="1" applyBorder="1"/>
    <xf numFmtId="0" fontId="0" fillId="4" borderId="8" xfId="0" applyFill="1" applyBorder="1"/>
    <xf numFmtId="0" fontId="0" fillId="4" borderId="9" xfId="0" applyFill="1" applyBorder="1"/>
    <xf numFmtId="49" fontId="2" fillId="4" borderId="10" xfId="0" applyNumberFormat="1" applyFont="1" applyFill="1" applyBorder="1"/>
    <xf numFmtId="49" fontId="2" fillId="4" borderId="11" xfId="0" applyNumberFormat="1" applyFont="1" applyFill="1" applyBorder="1"/>
    <xf numFmtId="49" fontId="2" fillId="4" borderId="12" xfId="0" applyNumberFormat="1" applyFont="1" applyFill="1" applyBorder="1"/>
    <xf numFmtId="49" fontId="1" fillId="2" borderId="1" xfId="0" applyNumberFormat="1" applyFont="1" applyFill="1" applyBorder="1" applyAlignment="1"/>
    <xf numFmtId="49" fontId="0" fillId="3" borderId="1" xfId="0" applyNumberFormat="1" applyFill="1" applyBorder="1" applyAlignment="1"/>
    <xf numFmtId="0" fontId="0" fillId="0" borderId="0" xfId="0" applyFill="1" applyAlignment="1"/>
    <xf numFmtId="49" fontId="1" fillId="2" borderId="2" xfId="0" applyNumberFormat="1" applyFont="1" applyFill="1" applyBorder="1" applyAlignment="1"/>
    <xf numFmtId="0" fontId="0" fillId="2" borderId="3" xfId="0" applyFill="1" applyBorder="1" applyAlignment="1"/>
    <xf numFmtId="49" fontId="0" fillId="2" borderId="4" xfId="0" applyNumberFormat="1" applyFill="1" applyBorder="1" applyAlignment="1"/>
    <xf numFmtId="0" fontId="0" fillId="2" borderId="16" xfId="0" applyFill="1" applyBorder="1" applyAlignment="1"/>
    <xf numFmtId="0" fontId="2" fillId="0" borderId="0" xfId="0" applyFont="1" applyFill="1" applyAlignment="1"/>
    <xf numFmtId="49" fontId="0" fillId="2" borderId="7" xfId="0" applyNumberFormat="1" applyFill="1" applyBorder="1" applyAlignment="1"/>
    <xf numFmtId="0" fontId="0" fillId="2" borderId="17" xfId="0" applyFill="1" applyBorder="1" applyAlignment="1"/>
    <xf numFmtId="0" fontId="0" fillId="2" borderId="9" xfId="0" applyFill="1" applyBorder="1" applyAlignment="1"/>
    <xf numFmtId="49" fontId="2" fillId="2" borderId="10" xfId="0" applyNumberFormat="1" applyFont="1" applyFill="1" applyBorder="1" applyAlignment="1"/>
    <xf numFmtId="49" fontId="2" fillId="2" borderId="11" xfId="0" applyNumberFormat="1" applyFont="1" applyFill="1" applyBorder="1" applyAlignment="1"/>
    <xf numFmtId="49" fontId="2" fillId="2" borderId="12" xfId="0" applyNumberFormat="1" applyFont="1" applyFill="1" applyBorder="1" applyAlignment="1"/>
    <xf numFmtId="0" fontId="2" fillId="0" borderId="6" xfId="0" applyFont="1" applyFill="1" applyBorder="1" applyAlignment="1"/>
    <xf numFmtId="0" fontId="0" fillId="0" borderId="13" xfId="0" applyFill="1" applyBorder="1" applyAlignment="1"/>
    <xf numFmtId="0" fontId="0" fillId="0" borderId="6" xfId="0" applyFill="1" applyBorder="1" applyAlignment="1"/>
    <xf numFmtId="0" fontId="0" fillId="4" borderId="6" xfId="0" applyFill="1" applyBorder="1" applyAlignment="1"/>
    <xf numFmtId="0" fontId="0" fillId="3" borderId="8" xfId="0" applyFill="1" applyBorder="1"/>
    <xf numFmtId="177" fontId="0" fillId="0" borderId="13" xfId="0" applyNumberFormat="1" applyBorder="1"/>
    <xf numFmtId="177" fontId="0" fillId="0" borderId="6" xfId="0" applyNumberFormat="1" applyBorder="1"/>
    <xf numFmtId="0" fontId="0" fillId="3" borderId="13" xfId="0" applyFill="1" applyBorder="1"/>
    <xf numFmtId="0" fontId="0" fillId="2" borderId="1" xfId="0" applyFill="1" applyBorder="1"/>
    <xf numFmtId="0" fontId="0" fillId="0" borderId="6" xfId="0" applyBorder="1" applyAlignment="1">
      <alignment horizontal="center"/>
    </xf>
    <xf numFmtId="0" fontId="0" fillId="0" borderId="0" xfId="0" applyFont="1" applyFill="1" applyBorder="1" applyAlignment="1">
      <alignment horizontal="center"/>
    </xf>
    <xf numFmtId="0" fontId="0" fillId="0" borderId="6" xfId="0" applyFont="1" applyBorder="1" applyAlignment="1">
      <alignment horizontal="center" vertical="center"/>
    </xf>
    <xf numFmtId="0" fontId="0" fillId="0" borderId="6" xfId="0" applyBorder="1" applyAlignment="1">
      <alignment horizontal="center" vertical="center"/>
    </xf>
    <xf numFmtId="0" fontId="0" fillId="0" borderId="18" xfId="0" applyBorder="1"/>
    <xf numFmtId="0" fontId="0" fillId="5" borderId="0" xfId="0" applyFill="1"/>
    <xf numFmtId="0" fontId="0" fillId="0" borderId="0" xfId="0" applyFont="1" applyFill="1" applyAlignment="1">
      <alignment vertical="center"/>
    </xf>
    <xf numFmtId="0" fontId="0" fillId="4" borderId="0" xfId="0" applyFont="1" applyFill="1" applyAlignment="1">
      <alignment horizontal="center" vertical="center"/>
    </xf>
    <xf numFmtId="0" fontId="0" fillId="0" borderId="6" xfId="0" applyFont="1" applyFill="1" applyBorder="1" applyAlignment="1">
      <alignment horizontal="right"/>
    </xf>
    <xf numFmtId="0" fontId="0" fillId="0" borderId="6" xfId="0" applyFont="1" applyFill="1" applyBorder="1" applyAlignment="1">
      <alignment vertical="center"/>
    </xf>
    <xf numFmtId="0" fontId="0" fillId="0" borderId="6" xfId="0" applyNumberFormat="1" applyFont="1" applyFill="1" applyBorder="1" applyAlignment="1">
      <alignment vertical="center"/>
    </xf>
    <xf numFmtId="0" fontId="0" fillId="0" borderId="6" xfId="0" applyFont="1" applyFill="1" applyBorder="1" applyAlignment="1"/>
    <xf numFmtId="0" fontId="0" fillId="0" borderId="6" xfId="0" applyFont="1" applyFill="1" applyBorder="1" applyAlignment="1">
      <alignment horizontal="center" vertical="center"/>
    </xf>
    <xf numFmtId="0" fontId="0" fillId="3" borderId="6" xfId="0" applyFont="1" applyFill="1" applyBorder="1" applyAlignment="1">
      <alignment horizontal="right"/>
    </xf>
    <xf numFmtId="0" fontId="0" fillId="3" borderId="6" xfId="0" applyNumberFormat="1" applyFont="1" applyFill="1" applyBorder="1" applyAlignment="1">
      <alignment vertical="center"/>
    </xf>
    <xf numFmtId="0" fontId="0" fillId="3" borderId="6" xfId="0" applyFont="1" applyFill="1" applyBorder="1" applyAlignment="1"/>
    <xf numFmtId="0" fontId="0" fillId="3" borderId="6" xfId="0" applyFont="1" applyFill="1" applyBorder="1" applyAlignment="1">
      <alignment vertical="center"/>
    </xf>
    <xf numFmtId="0" fontId="0" fillId="6" borderId="0" xfId="0" applyFont="1" applyFill="1" applyAlignment="1">
      <alignment horizontal="center" vertical="center"/>
    </xf>
    <xf numFmtId="0" fontId="0" fillId="0" borderId="0" xfId="0" applyFont="1" applyFill="1" applyAlignment="1">
      <alignment horizontal="right"/>
    </xf>
    <xf numFmtId="0" fontId="0" fillId="0" borderId="0" xfId="0" applyNumberFormat="1" applyFont="1" applyFill="1" applyAlignment="1">
      <alignment vertical="center"/>
    </xf>
    <xf numFmtId="0" fontId="0" fillId="0" borderId="0" xfId="0" applyFont="1" applyFill="1" applyAlignment="1"/>
    <xf numFmtId="0" fontId="0" fillId="0" borderId="6" xfId="0" applyFont="1" applyFill="1" applyBorder="1" applyAlignment="1">
      <alignment horizontal="center"/>
    </xf>
    <xf numFmtId="0" fontId="0" fillId="0" borderId="6" xfId="0" applyNumberFormat="1" applyFont="1" applyFill="1" applyBorder="1" applyAlignment="1">
      <alignment horizontal="center" vertical="center"/>
    </xf>
    <xf numFmtId="0" fontId="0" fillId="4" borderId="6" xfId="0" applyFont="1" applyFill="1" applyBorder="1" applyAlignment="1">
      <alignment horizontal="center"/>
    </xf>
    <xf numFmtId="0" fontId="0" fillId="4" borderId="6" xfId="0" applyNumberFormat="1" applyFont="1" applyFill="1" applyBorder="1" applyAlignment="1">
      <alignment horizontal="center" vertical="center"/>
    </xf>
    <xf numFmtId="0" fontId="0" fillId="4" borderId="6" xfId="0" applyFont="1" applyFill="1" applyBorder="1" applyAlignment="1">
      <alignment horizontal="center" vertical="center"/>
    </xf>
    <xf numFmtId="0" fontId="0" fillId="0" borderId="19" xfId="0" applyFont="1" applyFill="1" applyBorder="1" applyAlignment="1">
      <alignment horizontal="center" vertical="center"/>
    </xf>
    <xf numFmtId="0" fontId="0" fillId="4" borderId="6" xfId="0" applyFont="1" applyFill="1" applyBorder="1" applyAlignment="1"/>
    <xf numFmtId="0" fontId="0" fillId="3" borderId="6" xfId="0" applyFont="1" applyFill="1" applyBorder="1" applyAlignment="1">
      <alignment horizontal="center"/>
    </xf>
    <xf numFmtId="0" fontId="0" fillId="3" borderId="6" xfId="0" applyNumberFormat="1" applyFont="1" applyFill="1" applyBorder="1" applyAlignment="1">
      <alignment horizontal="center" vertical="center"/>
    </xf>
    <xf numFmtId="0" fontId="0" fillId="3" borderId="6" xfId="0" applyFont="1" applyFill="1" applyBorder="1" applyAlignment="1">
      <alignment horizontal="center" vertical="center"/>
    </xf>
    <xf numFmtId="0" fontId="0" fillId="7" borderId="6" xfId="0" applyFont="1" applyFill="1" applyBorder="1" applyAlignment="1">
      <alignment horizontal="center"/>
    </xf>
    <xf numFmtId="0" fontId="0" fillId="7" borderId="6" xfId="0" applyNumberFormat="1" applyFont="1" applyFill="1" applyBorder="1" applyAlignment="1">
      <alignment horizontal="center"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haredStrings" Target="sharedStrings.xml"/><Relationship Id="rId27" Type="http://schemas.openxmlformats.org/officeDocument/2006/relationships/styles" Target="styles.xml"/><Relationship Id="rId26" Type="http://schemas.openxmlformats.org/officeDocument/2006/relationships/theme" Target="theme/theme1.xml"/><Relationship Id="rId25" Type="http://schemas.openxmlformats.org/officeDocument/2006/relationships/externalLink" Target="externalLinks/externalLink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646748701866812"/>
          <c:y val="0.0509259259259259"/>
          <c:w val="0.877612863327149"/>
          <c:h val="0.841674686497521"/>
        </c:manualLayout>
      </c:layout>
      <c:barChart>
        <c:barDir val="col"/>
        <c:grouping val="clustered"/>
        <c:varyColors val="0"/>
        <c:ser>
          <c:idx val="0"/>
          <c:order val="0"/>
          <c:tx>
            <c:strRef>
              <c:f>'normal distribution UN-poly'!$J$1</c:f>
              <c:strCache>
                <c:ptCount val="1"/>
                <c:pt idx="0">
                  <c:v>frequencey</c:v>
                </c:pt>
              </c:strCache>
            </c:strRef>
          </c:tx>
          <c:spPr>
            <a:solidFill>
              <a:schemeClr val="accent1"/>
            </a:solidFill>
            <a:ln>
              <a:noFill/>
            </a:ln>
            <a:effectLst/>
          </c:spPr>
          <c:invertIfNegative val="0"/>
          <c:dLbls>
            <c:delete val="1"/>
          </c:dLbls>
          <c:cat>
            <c:numRef>
              <c:f>'[0]normal distribution UN-poly'!coord</c:f>
              <c:numCache>
                <c:formatCode>General</c:formatCode>
                <c:ptCount val="11"/>
                <c:pt idx="0">
                  <c:v>0</c:v>
                </c:pt>
                <c:pt idx="1">
                  <c:v>250</c:v>
                </c:pt>
                <c:pt idx="2">
                  <c:v>500</c:v>
                </c:pt>
                <c:pt idx="3">
                  <c:v>750</c:v>
                </c:pt>
                <c:pt idx="4">
                  <c:v>1000</c:v>
                </c:pt>
                <c:pt idx="5">
                  <c:v>1250</c:v>
                </c:pt>
                <c:pt idx="6">
                  <c:v>1500</c:v>
                </c:pt>
                <c:pt idx="7">
                  <c:v>1750</c:v>
                </c:pt>
                <c:pt idx="8">
                  <c:v>2000</c:v>
                </c:pt>
                <c:pt idx="9">
                  <c:v>2250</c:v>
                </c:pt>
                <c:pt idx="10">
                  <c:v>2500</c:v>
                </c:pt>
              </c:numCache>
            </c:numRef>
          </c:cat>
          <c:val>
            <c:numRef>
              <c:f>'[0]normal distribution UN-poly'!Frequency</c:f>
              <c:numCache>
                <c:formatCode>General</c:formatCode>
                <c:ptCount val="11"/>
                <c:pt idx="0">
                  <c:v>0</c:v>
                </c:pt>
                <c:pt idx="1">
                  <c:v>0</c:v>
                </c:pt>
                <c:pt idx="2">
                  <c:v>1</c:v>
                </c:pt>
                <c:pt idx="3">
                  <c:v>3</c:v>
                </c:pt>
                <c:pt idx="4">
                  <c:v>8</c:v>
                </c:pt>
                <c:pt idx="5">
                  <c:v>5</c:v>
                </c:pt>
                <c:pt idx="6">
                  <c:v>12</c:v>
                </c:pt>
                <c:pt idx="7">
                  <c:v>4</c:v>
                </c:pt>
                <c:pt idx="8">
                  <c:v>1</c:v>
                </c:pt>
                <c:pt idx="9">
                  <c:v>2</c:v>
                </c:pt>
                <c:pt idx="10">
                  <c:v>0</c:v>
                </c:pt>
              </c:numCache>
            </c:numRef>
          </c:val>
        </c:ser>
        <c:dLbls>
          <c:showLegendKey val="0"/>
          <c:showVal val="0"/>
          <c:showCatName val="0"/>
          <c:showSerName val="0"/>
          <c:showPercent val="0"/>
          <c:showBubbleSize val="0"/>
        </c:dLbls>
        <c:gapWidth val="0"/>
        <c:overlap val="-27"/>
        <c:axId val="1967975551"/>
        <c:axId val="1967975967"/>
      </c:barChart>
      <c:lineChart>
        <c:grouping val="standard"/>
        <c:varyColors val="0"/>
        <c:ser>
          <c:idx val="1"/>
          <c:order val="1"/>
          <c:tx>
            <c:strRef>
              <c:f>'normal distribution UN-poly'!$K$1</c:f>
              <c:strCache>
                <c:ptCount val="1"/>
                <c:pt idx="0">
                  <c:v>Normal distribution</c:v>
                </c:pt>
              </c:strCache>
            </c:strRef>
          </c:tx>
          <c:spPr>
            <a:ln w="28575" cap="rnd">
              <a:solidFill>
                <a:schemeClr val="accent2"/>
              </a:solidFill>
              <a:round/>
            </a:ln>
            <a:effectLst/>
          </c:spPr>
          <c:marker>
            <c:symbol val="none"/>
          </c:marker>
          <c:dLbls>
            <c:delete val="1"/>
          </c:dLbls>
          <c:cat>
            <c:numRef>
              <c:f>'[0]normal distribution UN-poly'!coord</c:f>
              <c:numCache>
                <c:formatCode>General</c:formatCode>
                <c:ptCount val="11"/>
                <c:pt idx="0">
                  <c:v>0</c:v>
                </c:pt>
                <c:pt idx="1">
                  <c:v>250</c:v>
                </c:pt>
                <c:pt idx="2">
                  <c:v>500</c:v>
                </c:pt>
                <c:pt idx="3">
                  <c:v>750</c:v>
                </c:pt>
                <c:pt idx="4">
                  <c:v>1000</c:v>
                </c:pt>
                <c:pt idx="5">
                  <c:v>1250</c:v>
                </c:pt>
                <c:pt idx="6">
                  <c:v>1500</c:v>
                </c:pt>
                <c:pt idx="7">
                  <c:v>1750</c:v>
                </c:pt>
                <c:pt idx="8">
                  <c:v>2000</c:v>
                </c:pt>
                <c:pt idx="9">
                  <c:v>2250</c:v>
                </c:pt>
                <c:pt idx="10">
                  <c:v>2500</c:v>
                </c:pt>
              </c:numCache>
            </c:numRef>
          </c:cat>
          <c:val>
            <c:numRef>
              <c:f>'[0]normal distribution UN-poly'!Norm</c:f>
              <c:numCache>
                <c:formatCode>General</c:formatCode>
                <c:ptCount val="11"/>
                <c:pt idx="0">
                  <c:v>8.79586553037535e-6</c:v>
                </c:pt>
                <c:pt idx="1">
                  <c:v>5.06846551108018e-5</c:v>
                </c:pt>
                <c:pt idx="2">
                  <c:v>0.00019546335510609</c:v>
                </c:pt>
                <c:pt idx="3">
                  <c:v>0.000504481380396309</c:v>
                </c:pt>
                <c:pt idx="4">
                  <c:v>0.000871396625023757</c:v>
                </c:pt>
                <c:pt idx="5">
                  <c:v>0.00100734339810319</c:v>
                </c:pt>
                <c:pt idx="6">
                  <c:v>0.000779345719898086</c:v>
                </c:pt>
                <c:pt idx="7">
                  <c:v>0.000403528026943242</c:v>
                </c:pt>
                <c:pt idx="8">
                  <c:v>0.000139832522571969</c:v>
                </c:pt>
                <c:pt idx="9">
                  <c:v>3.24290047243802e-5</c:v>
                </c:pt>
                <c:pt idx="10">
                  <c:v>5.03326720520338e-6</c:v>
                </c:pt>
              </c:numCache>
            </c:numRef>
          </c:val>
          <c:smooth val="1"/>
        </c:ser>
        <c:dLbls>
          <c:showLegendKey val="0"/>
          <c:showVal val="0"/>
          <c:showCatName val="0"/>
          <c:showSerName val="0"/>
          <c:showPercent val="0"/>
          <c:showBubbleSize val="0"/>
        </c:dLbls>
        <c:marker val="0"/>
        <c:smooth val="1"/>
        <c:axId val="2016509599"/>
        <c:axId val="2016486719"/>
      </c:lineChart>
      <c:catAx>
        <c:axId val="1967975551"/>
        <c:scaling>
          <c:orientation val="minMax"/>
        </c:scaling>
        <c:delete val="0"/>
        <c:axPos val="b"/>
        <c:title>
          <c:tx>
            <c:rich>
              <a:bodyPr rot="0" spcFirstLastPara="1" vertOverflow="ellipsis" vert="horz" wrap="square" anchor="ctr" anchorCtr="1"/>
              <a:lstStyle/>
              <a:p>
                <a:pPr>
                  <a:defRPr lang="zh-CN" sz="1000" b="0" i="0" u="none" strike="noStrike" kern="1200" baseline="0">
                    <a:solidFill>
                      <a:schemeClr val="tx1">
                        <a:lumMod val="65000"/>
                        <a:lumOff val="35000"/>
                      </a:schemeClr>
                    </a:solidFill>
                    <a:latin typeface="+mn-lt"/>
                    <a:ea typeface="+mn-ea"/>
                    <a:cs typeface="+mn-cs"/>
                  </a:defRPr>
                </a:pPr>
                <a:r>
                  <a:rPr lang="en-US" altLang="zh-CN"/>
                  <a:t>Modulus (kPa)</a:t>
                </a:r>
                <a:endParaRPr lang="zh-CN" altLang="en-US"/>
              </a:p>
            </c:rich>
          </c:tx>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67975967"/>
        <c:crosses val="autoZero"/>
        <c:auto val="1"/>
        <c:lblAlgn val="ctr"/>
        <c:lblOffset val="100"/>
        <c:noMultiLvlLbl val="0"/>
      </c:catAx>
      <c:valAx>
        <c:axId val="196797596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67975551"/>
        <c:crosses val="max"/>
        <c:crossBetween val="between"/>
      </c:valAx>
      <c:catAx>
        <c:axId val="2016509599"/>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16486719"/>
        <c:crosses val="autoZero"/>
        <c:auto val="1"/>
        <c:lblAlgn val="ctr"/>
        <c:lblOffset val="100"/>
        <c:noMultiLvlLbl val="0"/>
      </c:catAx>
      <c:valAx>
        <c:axId val="201648671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16509599"/>
        <c:crosses val="autoZero"/>
        <c:crossBetween val="between"/>
      </c:valAx>
      <c:spPr>
        <a:noFill/>
        <a:ln>
          <a:noFill/>
        </a:ln>
        <a:effectLst/>
      </c:spPr>
    </c:plotArea>
    <c:legend>
      <c:legendPos val="r"/>
      <c:layout>
        <c:manualLayout>
          <c:xMode val="edge"/>
          <c:yMode val="edge"/>
          <c:x val="0.73704390847248"/>
          <c:y val="0.167244823563721"/>
          <c:w val="0.209947133231723"/>
          <c:h val="0.156251093613298"/>
        </c:manualLayout>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646748701866812"/>
          <c:y val="0.0509259259259259"/>
          <c:w val="0.877612863327149"/>
          <c:h val="0.841674686497521"/>
        </c:manualLayout>
      </c:layout>
      <c:barChart>
        <c:barDir val="col"/>
        <c:grouping val="clustered"/>
        <c:varyColors val="0"/>
        <c:ser>
          <c:idx val="0"/>
          <c:order val="0"/>
          <c:tx>
            <c:strRef>
              <c:f>'normal distribution UN-mat'!$J$1</c:f>
              <c:strCache>
                <c:ptCount val="1"/>
                <c:pt idx="0">
                  <c:v>frequencey</c:v>
                </c:pt>
              </c:strCache>
            </c:strRef>
          </c:tx>
          <c:spPr>
            <a:solidFill>
              <a:schemeClr val="accent1"/>
            </a:solidFill>
            <a:ln>
              <a:noFill/>
            </a:ln>
            <a:effectLst/>
          </c:spPr>
          <c:invertIfNegative val="0"/>
          <c:dLbls>
            <c:delete val="1"/>
          </c:dLbls>
          <c:cat>
            <c:numRef>
              <c:f>'[0]normal distribution UN-mat'!Coordm</c:f>
              <c:numCache>
                <c:formatCode>General</c:formatCode>
                <c:ptCount val="11"/>
                <c:pt idx="0">
                  <c:v>0</c:v>
                </c:pt>
                <c:pt idx="1">
                  <c:v>250</c:v>
                </c:pt>
                <c:pt idx="2">
                  <c:v>500</c:v>
                </c:pt>
                <c:pt idx="3">
                  <c:v>750</c:v>
                </c:pt>
                <c:pt idx="4">
                  <c:v>1000</c:v>
                </c:pt>
                <c:pt idx="5">
                  <c:v>1250</c:v>
                </c:pt>
                <c:pt idx="6">
                  <c:v>1500</c:v>
                </c:pt>
                <c:pt idx="7">
                  <c:v>1750</c:v>
                </c:pt>
                <c:pt idx="8">
                  <c:v>2000</c:v>
                </c:pt>
                <c:pt idx="9">
                  <c:v>2250</c:v>
                </c:pt>
                <c:pt idx="10">
                  <c:v>2500</c:v>
                </c:pt>
              </c:numCache>
            </c:numRef>
          </c:cat>
          <c:val>
            <c:numRef>
              <c:f>'[0]normal distribution UN-mat'!Frequencym</c:f>
              <c:numCache>
                <c:formatCode>General</c:formatCode>
                <c:ptCount val="11"/>
                <c:pt idx="0">
                  <c:v>0</c:v>
                </c:pt>
                <c:pt idx="1">
                  <c:v>1</c:v>
                </c:pt>
                <c:pt idx="2">
                  <c:v>0</c:v>
                </c:pt>
                <c:pt idx="3">
                  <c:v>1</c:v>
                </c:pt>
                <c:pt idx="4">
                  <c:v>8</c:v>
                </c:pt>
                <c:pt idx="5">
                  <c:v>14</c:v>
                </c:pt>
                <c:pt idx="6">
                  <c:v>7</c:v>
                </c:pt>
                <c:pt idx="7">
                  <c:v>1</c:v>
                </c:pt>
                <c:pt idx="8">
                  <c:v>2</c:v>
                </c:pt>
                <c:pt idx="9">
                  <c:v>1</c:v>
                </c:pt>
                <c:pt idx="10">
                  <c:v>1</c:v>
                </c:pt>
              </c:numCache>
            </c:numRef>
          </c:val>
        </c:ser>
        <c:dLbls>
          <c:showLegendKey val="0"/>
          <c:showVal val="0"/>
          <c:showCatName val="0"/>
          <c:showSerName val="0"/>
          <c:showPercent val="0"/>
          <c:showBubbleSize val="0"/>
        </c:dLbls>
        <c:gapWidth val="0"/>
        <c:overlap val="-27"/>
        <c:axId val="1967975551"/>
        <c:axId val="1967975967"/>
      </c:barChart>
      <c:lineChart>
        <c:grouping val="standard"/>
        <c:varyColors val="0"/>
        <c:ser>
          <c:idx val="1"/>
          <c:order val="1"/>
          <c:tx>
            <c:strRef>
              <c:f>'normal distribution UN-mat'!$K$1</c:f>
              <c:strCache>
                <c:ptCount val="1"/>
                <c:pt idx="0">
                  <c:v>Normal distribution</c:v>
                </c:pt>
              </c:strCache>
            </c:strRef>
          </c:tx>
          <c:spPr>
            <a:ln w="28575" cap="rnd">
              <a:solidFill>
                <a:schemeClr val="accent2"/>
              </a:solidFill>
              <a:round/>
            </a:ln>
            <a:effectLst/>
          </c:spPr>
          <c:marker>
            <c:symbol val="none"/>
          </c:marker>
          <c:dLbls>
            <c:delete val="1"/>
          </c:dLbls>
          <c:cat>
            <c:numRef>
              <c:f>'[0]normal distribution UN-mat'!Coordm</c:f>
              <c:numCache>
                <c:formatCode>General</c:formatCode>
                <c:ptCount val="11"/>
                <c:pt idx="0">
                  <c:v>0</c:v>
                </c:pt>
                <c:pt idx="1">
                  <c:v>250</c:v>
                </c:pt>
                <c:pt idx="2">
                  <c:v>500</c:v>
                </c:pt>
                <c:pt idx="3">
                  <c:v>750</c:v>
                </c:pt>
                <c:pt idx="4">
                  <c:v>1000</c:v>
                </c:pt>
                <c:pt idx="5">
                  <c:v>1250</c:v>
                </c:pt>
                <c:pt idx="6">
                  <c:v>1500</c:v>
                </c:pt>
                <c:pt idx="7">
                  <c:v>1750</c:v>
                </c:pt>
                <c:pt idx="8">
                  <c:v>2000</c:v>
                </c:pt>
                <c:pt idx="9">
                  <c:v>2250</c:v>
                </c:pt>
                <c:pt idx="10">
                  <c:v>2500</c:v>
                </c:pt>
              </c:numCache>
            </c:numRef>
          </c:cat>
          <c:val>
            <c:numRef>
              <c:f>'[0]normal distribution UN-mat'!Normm</c:f>
              <c:numCache>
                <c:formatCode>General</c:formatCode>
                <c:ptCount val="11"/>
                <c:pt idx="0">
                  <c:v>1.44981012467458e-5</c:v>
                </c:pt>
                <c:pt idx="1">
                  <c:v>6.8027281042561e-5</c:v>
                </c:pt>
                <c:pt idx="2">
                  <c:v>0.000223811958248284</c:v>
                </c:pt>
                <c:pt idx="3">
                  <c:v>0.000516311323865598</c:v>
                </c:pt>
                <c:pt idx="4">
                  <c:v>0.000835157147753385</c:v>
                </c:pt>
                <c:pt idx="5">
                  <c:v>0.000947224546147533</c:v>
                </c:pt>
                <c:pt idx="6">
                  <c:v>0.000753296369156464</c:v>
                </c:pt>
                <c:pt idx="7">
                  <c:v>0.000420055807766303</c:v>
                </c:pt>
                <c:pt idx="8">
                  <c:v>0.000164239003896731</c:v>
                </c:pt>
                <c:pt idx="9">
                  <c:v>4.50270816840009e-5</c:v>
                </c:pt>
                <c:pt idx="10">
                  <c:v>8.65564601609017e-6</c:v>
                </c:pt>
              </c:numCache>
            </c:numRef>
          </c:val>
          <c:smooth val="1"/>
        </c:ser>
        <c:dLbls>
          <c:showLegendKey val="0"/>
          <c:showVal val="0"/>
          <c:showCatName val="0"/>
          <c:showSerName val="0"/>
          <c:showPercent val="0"/>
          <c:showBubbleSize val="0"/>
        </c:dLbls>
        <c:marker val="0"/>
        <c:smooth val="1"/>
        <c:axId val="2016509599"/>
        <c:axId val="2016486719"/>
      </c:lineChart>
      <c:catAx>
        <c:axId val="1967975551"/>
        <c:scaling>
          <c:orientation val="minMax"/>
        </c:scaling>
        <c:delete val="0"/>
        <c:axPos val="b"/>
        <c:title>
          <c:tx>
            <c:rich>
              <a:bodyPr rot="0" spcFirstLastPara="1" vertOverflow="ellipsis" vert="horz" wrap="square" anchor="ctr" anchorCtr="1"/>
              <a:lstStyle/>
              <a:p>
                <a:pPr>
                  <a:defRPr lang="zh-CN" sz="1000" b="0" i="0" u="none" strike="noStrike" kern="1200" baseline="0">
                    <a:solidFill>
                      <a:schemeClr val="tx1">
                        <a:lumMod val="65000"/>
                        <a:lumOff val="35000"/>
                      </a:schemeClr>
                    </a:solidFill>
                    <a:latin typeface="+mn-lt"/>
                    <a:ea typeface="+mn-ea"/>
                    <a:cs typeface="+mn-cs"/>
                  </a:defRPr>
                </a:pPr>
                <a:r>
                  <a:rPr lang="en-US" altLang="zh-CN"/>
                  <a:t>Modulus (kPa)</a:t>
                </a:r>
                <a:endParaRPr lang="zh-CN" altLang="en-US"/>
              </a:p>
            </c:rich>
          </c:tx>
          <c:layout/>
          <c:overlay val="0"/>
          <c:spPr>
            <a:noFill/>
            <a:ln>
              <a:noFill/>
            </a:ln>
            <a:effectLst/>
          </c:sp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67975967"/>
        <c:crosses val="autoZero"/>
        <c:auto val="1"/>
        <c:lblAlgn val="ctr"/>
        <c:lblOffset val="100"/>
        <c:noMultiLvlLbl val="0"/>
      </c:catAx>
      <c:valAx>
        <c:axId val="196797596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67975551"/>
        <c:crosses val="max"/>
        <c:crossBetween val="between"/>
      </c:valAx>
      <c:catAx>
        <c:axId val="2016509599"/>
        <c:scaling>
          <c:orientation val="minMax"/>
        </c:scaling>
        <c:delete val="1"/>
        <c:axPos val="t"/>
        <c:numFmt formatCode="General" sourceLinked="1"/>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16486719"/>
        <c:crosses val="max"/>
        <c:auto val="1"/>
        <c:lblAlgn val="ctr"/>
        <c:lblOffset val="100"/>
        <c:noMultiLvlLbl val="0"/>
      </c:catAx>
      <c:valAx>
        <c:axId val="201648671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16509599"/>
        <c:crosses val="autoZero"/>
        <c:crossBetween val="between"/>
      </c:valAx>
      <c:spPr>
        <a:noFill/>
        <a:ln>
          <a:noFill/>
        </a:ln>
        <a:effectLst/>
      </c:spPr>
    </c:plotArea>
    <c:legend>
      <c:legendPos val="r"/>
      <c:layout>
        <c:manualLayout>
          <c:xMode val="edge"/>
          <c:yMode val="edge"/>
          <c:x val="0.741166769738198"/>
          <c:y val="0.162615193934092"/>
          <c:w val="0.209947133231723"/>
          <c:h val="0.156251093613298"/>
        </c:manualLayout>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'M2'!$D$7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'M2'!$C$8:$C$17</c:f>
              <c:numCache>
                <c:formatCode>General</c:formatCode>
                <c:ptCount val="10"/>
                <c:pt idx="0">
                  <c:v>0</c:v>
                </c:pt>
                <c:pt idx="1">
                  <c:v>0.0612244897959184</c:v>
                </c:pt>
                <c:pt idx="2">
                  <c:v>0.0816326530612245</c:v>
                </c:pt>
                <c:pt idx="3">
                  <c:v>0.102040816326531</c:v>
                </c:pt>
                <c:pt idx="4">
                  <c:v>0.122448979591837</c:v>
                </c:pt>
                <c:pt idx="5">
                  <c:v>0.142857142857143</c:v>
                </c:pt>
                <c:pt idx="6">
                  <c:v>0.163265306122449</c:v>
                </c:pt>
                <c:pt idx="7">
                  <c:v>0.204081632653061</c:v>
                </c:pt>
                <c:pt idx="8">
                  <c:v>0.224489795918367</c:v>
                </c:pt>
                <c:pt idx="9">
                  <c:v>0.244897959183673</c:v>
                </c:pt>
              </c:numCache>
            </c:numRef>
          </c:xVal>
          <c:yVal>
            <c:numRef>
              <c:f>'M2'!$D$8:$D$17</c:f>
              <c:numCache>
                <c:formatCode>General</c:formatCode>
                <c:ptCount val="10"/>
                <c:pt idx="0">
                  <c:v>0</c:v>
                </c:pt>
                <c:pt idx="1">
                  <c:v>51487.6923076923</c:v>
                </c:pt>
                <c:pt idx="2">
                  <c:v>101744.102564103</c:v>
                </c:pt>
                <c:pt idx="3">
                  <c:v>126872.307692308</c:v>
                </c:pt>
                <c:pt idx="4">
                  <c:v>152000.512820513</c:v>
                </c:pt>
                <c:pt idx="5">
                  <c:v>177128.717948718</c:v>
                </c:pt>
                <c:pt idx="6">
                  <c:v>202256.923076923</c:v>
                </c:pt>
                <c:pt idx="7">
                  <c:v>227385.128205128</c:v>
                </c:pt>
                <c:pt idx="8">
                  <c:v>252513.333333333</c:v>
                </c:pt>
                <c:pt idx="9">
                  <c:v>265077.435897436</c:v>
                </c:pt>
              </c:numCache>
            </c:numRef>
          </c:yVal>
          <c:smooth val="0"/>
        </c:ser>
        <c:dLbls>
          <c:showLegendKey val="0"/>
          <c:showVal val="0"/>
          <c:showCatName val="0"/>
          <c:showSerName val="0"/>
          <c:showPercent val="0"/>
          <c:showBubbleSize val="0"/>
        </c:dLbls>
        <c:axId val="540005824"/>
        <c:axId val="540007392"/>
      </c:scatterChart>
      <c:valAx>
        <c:axId val="54000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40007392"/>
        <c:crosses val="autoZero"/>
        <c:crossBetween val="midCat"/>
      </c:valAx>
      <c:valAx>
        <c:axId val="540007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4000582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'M6'!$D$7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'M6'!$C$8:$C$17</c:f>
              <c:numCache>
                <c:formatCode>General</c:formatCode>
                <c:ptCount val="10"/>
                <c:pt idx="0">
                  <c:v>0</c:v>
                </c:pt>
                <c:pt idx="1">
                  <c:v>0.00593471810089008</c:v>
                </c:pt>
                <c:pt idx="2">
                  <c:v>0.0608308605341245</c:v>
                </c:pt>
                <c:pt idx="3">
                  <c:v>0.0682492581602373</c:v>
                </c:pt>
                <c:pt idx="4">
                  <c:v>0.121661721068249</c:v>
                </c:pt>
                <c:pt idx="5">
                  <c:v>0.140949554896142</c:v>
                </c:pt>
                <c:pt idx="6">
                  <c:v>0.169139465875371</c:v>
                </c:pt>
                <c:pt idx="7">
                  <c:v>0.181008902077151</c:v>
                </c:pt>
                <c:pt idx="8">
                  <c:v>0.197329376854599</c:v>
                </c:pt>
                <c:pt idx="9">
                  <c:v>0.213649851632047</c:v>
                </c:pt>
              </c:numCache>
            </c:numRef>
          </c:xVal>
          <c:yVal>
            <c:numRef>
              <c:f>'M6'!$D$8:$D$17</c:f>
              <c:numCache>
                <c:formatCode>General</c:formatCode>
                <c:ptCount val="10"/>
                <c:pt idx="0">
                  <c:v>0</c:v>
                </c:pt>
                <c:pt idx="1">
                  <c:v>3894.87179487179</c:v>
                </c:pt>
                <c:pt idx="2">
                  <c:v>54151.282051282</c:v>
                </c:pt>
                <c:pt idx="3">
                  <c:v>79279.4871794872</c:v>
                </c:pt>
                <c:pt idx="4">
                  <c:v>129535.897435897</c:v>
                </c:pt>
                <c:pt idx="5">
                  <c:v>154664.102564103</c:v>
                </c:pt>
                <c:pt idx="6">
                  <c:v>179792.307692308</c:v>
                </c:pt>
                <c:pt idx="7">
                  <c:v>204920.512820513</c:v>
                </c:pt>
                <c:pt idx="8">
                  <c:v>230048.717948718</c:v>
                </c:pt>
                <c:pt idx="9">
                  <c:v>255176.923076923</c:v>
                </c:pt>
              </c:numCache>
            </c:numRef>
          </c:yVal>
          <c:smooth val="0"/>
        </c:ser>
        <c:dLbls>
          <c:showLegendKey val="0"/>
          <c:showVal val="0"/>
          <c:showCatName val="0"/>
          <c:showSerName val="0"/>
          <c:showPercent val="0"/>
          <c:showBubbleSize val="0"/>
        </c:dLbls>
        <c:axId val="536040184"/>
        <c:axId val="536040968"/>
      </c:scatterChart>
      <c:valAx>
        <c:axId val="5360401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6040968"/>
        <c:crosses val="autoZero"/>
        <c:crossBetween val="midCat"/>
      </c:valAx>
      <c:valAx>
        <c:axId val="5360409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604018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'M11'!$D$7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'M11'!$C$8:$C$18</c:f>
              <c:numCache>
                <c:formatCode>General</c:formatCode>
                <c:ptCount val="11"/>
                <c:pt idx="0">
                  <c:v>0</c:v>
                </c:pt>
                <c:pt idx="1">
                  <c:v>0.0138888888888889</c:v>
                </c:pt>
                <c:pt idx="2">
                  <c:v>0.0416666666666667</c:v>
                </c:pt>
                <c:pt idx="3">
                  <c:v>0.0555555555555556</c:v>
                </c:pt>
                <c:pt idx="4">
                  <c:v>0.0694444444444444</c:v>
                </c:pt>
                <c:pt idx="5">
                  <c:v>0.0763888888888889</c:v>
                </c:pt>
                <c:pt idx="6">
                  <c:v>0.0972222222222222</c:v>
                </c:pt>
                <c:pt idx="7">
                  <c:v>0.104166666666667</c:v>
                </c:pt>
                <c:pt idx="8">
                  <c:v>0.111111111111111</c:v>
                </c:pt>
                <c:pt idx="9">
                  <c:v>0.125</c:v>
                </c:pt>
                <c:pt idx="10">
                  <c:v>0.131944444444444</c:v>
                </c:pt>
              </c:numCache>
            </c:numRef>
          </c:xVal>
          <c:yVal>
            <c:numRef>
              <c:f>'M11'!$D$8:$D$18</c:f>
              <c:numCache>
                <c:formatCode>General</c:formatCode>
                <c:ptCount val="11"/>
                <c:pt idx="0">
                  <c:v>0</c:v>
                </c:pt>
                <c:pt idx="1">
                  <c:v>4307.69230769231</c:v>
                </c:pt>
                <c:pt idx="2">
                  <c:v>25846.1538461538</c:v>
                </c:pt>
                <c:pt idx="3">
                  <c:v>47384.6153846154</c:v>
                </c:pt>
                <c:pt idx="4">
                  <c:v>68923.0769230769</c:v>
                </c:pt>
                <c:pt idx="5">
                  <c:v>79692.3076923077</c:v>
                </c:pt>
                <c:pt idx="6">
                  <c:v>101230.769230769</c:v>
                </c:pt>
                <c:pt idx="7">
                  <c:v>112000</c:v>
                </c:pt>
                <c:pt idx="8">
                  <c:v>122769.230769231</c:v>
                </c:pt>
                <c:pt idx="9">
                  <c:v>133538.461538462</c:v>
                </c:pt>
                <c:pt idx="10">
                  <c:v>144307.692307692</c:v>
                </c:pt>
              </c:numCache>
            </c:numRef>
          </c:yVal>
          <c:smooth val="0"/>
        </c:ser>
        <c:dLbls>
          <c:showLegendKey val="0"/>
          <c:showVal val="0"/>
          <c:showCatName val="0"/>
          <c:showSerName val="0"/>
          <c:showPercent val="0"/>
          <c:showBubbleSize val="0"/>
        </c:dLbls>
        <c:axId val="739596464"/>
        <c:axId val="377952512"/>
      </c:scatterChart>
      <c:valAx>
        <c:axId val="739596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377952512"/>
        <c:crosses val="autoZero"/>
        <c:crossBetween val="midCat"/>
      </c:valAx>
      <c:valAx>
        <c:axId val="377952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3959646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'M30'!$D$7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manualLayout>
                  <c:x val="-0.071832895888014"/>
                  <c:y val="0.00421296296296296"/>
                </c:manualLayout>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'M30'!$C$8:$C$18</c:f>
              <c:numCache>
                <c:formatCode>General</c:formatCode>
                <c:ptCount val="11"/>
                <c:pt idx="0">
                  <c:v>0</c:v>
                </c:pt>
                <c:pt idx="1">
                  <c:v>0.0566037735849057</c:v>
                </c:pt>
                <c:pt idx="2">
                  <c:v>0.0754716981132075</c:v>
                </c:pt>
                <c:pt idx="3">
                  <c:v>0.0943396226415094</c:v>
                </c:pt>
                <c:pt idx="4">
                  <c:v>0.132075471698113</c:v>
                </c:pt>
                <c:pt idx="5">
                  <c:v>0.132075471698113</c:v>
                </c:pt>
                <c:pt idx="6">
                  <c:v>0.150943396226415</c:v>
                </c:pt>
                <c:pt idx="7">
                  <c:v>0.169811320754717</c:v>
                </c:pt>
                <c:pt idx="8">
                  <c:v>0.207547169811321</c:v>
                </c:pt>
                <c:pt idx="9">
                  <c:v>0.207547169811321</c:v>
                </c:pt>
                <c:pt idx="10">
                  <c:v>0.226415094339623</c:v>
                </c:pt>
              </c:numCache>
            </c:numRef>
          </c:xVal>
          <c:yVal>
            <c:numRef>
              <c:f>'M30'!$D$8:$D$18</c:f>
              <c:numCache>
                <c:formatCode>General</c:formatCode>
                <c:ptCount val="11"/>
                <c:pt idx="0">
                  <c:v>0</c:v>
                </c:pt>
                <c:pt idx="1">
                  <c:v>51487.6923076923</c:v>
                </c:pt>
                <c:pt idx="2">
                  <c:v>101744.102564103</c:v>
                </c:pt>
                <c:pt idx="3">
                  <c:v>152000.512820513</c:v>
                </c:pt>
                <c:pt idx="4">
                  <c:v>177128.717948718</c:v>
                </c:pt>
                <c:pt idx="5">
                  <c:v>202256.923076923</c:v>
                </c:pt>
                <c:pt idx="6">
                  <c:v>227385.128205128</c:v>
                </c:pt>
                <c:pt idx="7">
                  <c:v>252513.333333333</c:v>
                </c:pt>
                <c:pt idx="8">
                  <c:v>277641.538461538</c:v>
                </c:pt>
                <c:pt idx="9">
                  <c:v>290205.641025641</c:v>
                </c:pt>
                <c:pt idx="10">
                  <c:v>302769.743589744</c:v>
                </c:pt>
              </c:numCache>
            </c:numRef>
          </c:yVal>
          <c:smooth val="0"/>
        </c:ser>
        <c:dLbls>
          <c:showLegendKey val="0"/>
          <c:showVal val="0"/>
          <c:showCatName val="0"/>
          <c:showSerName val="0"/>
          <c:showPercent val="0"/>
          <c:showBubbleSize val="0"/>
        </c:dLbls>
        <c:axId val="684630088"/>
        <c:axId val="377644192"/>
      </c:scatterChart>
      <c:valAx>
        <c:axId val="6846300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377644192"/>
        <c:crosses val="autoZero"/>
        <c:crossBetween val="midCat"/>
      </c:valAx>
      <c:valAx>
        <c:axId val="3776441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8463008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'M35'!$D$7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'M35'!$C$8:$C$17</c:f>
              <c:numCache>
                <c:formatCode>General</c:formatCode>
                <c:ptCount val="10"/>
                <c:pt idx="0">
                  <c:v>0</c:v>
                </c:pt>
                <c:pt idx="1">
                  <c:v>0.101612903225806</c:v>
                </c:pt>
                <c:pt idx="2">
                  <c:v>0.129032258064516</c:v>
                </c:pt>
                <c:pt idx="3">
                  <c:v>0.161290322580645</c:v>
                </c:pt>
                <c:pt idx="4">
                  <c:v>0.17741935483871</c:v>
                </c:pt>
                <c:pt idx="5">
                  <c:v>0.216129032258065</c:v>
                </c:pt>
                <c:pt idx="6">
                  <c:v>0.225806451612903</c:v>
                </c:pt>
                <c:pt idx="7">
                  <c:v>0.238709677419355</c:v>
                </c:pt>
                <c:pt idx="8">
                  <c:v>0.274193548387097</c:v>
                </c:pt>
                <c:pt idx="9">
                  <c:v>0.285483870967742</c:v>
                </c:pt>
              </c:numCache>
            </c:numRef>
          </c:xVal>
          <c:yVal>
            <c:numRef>
              <c:f>'M35'!$D$8:$D$17</c:f>
              <c:numCache>
                <c:formatCode>General</c:formatCode>
                <c:ptCount val="10"/>
                <c:pt idx="0">
                  <c:v>0</c:v>
                </c:pt>
                <c:pt idx="1">
                  <c:v>34381.9397993311</c:v>
                </c:pt>
                <c:pt idx="2">
                  <c:v>67157.8595317726</c:v>
                </c:pt>
                <c:pt idx="3">
                  <c:v>132709.698996656</c:v>
                </c:pt>
                <c:pt idx="4">
                  <c:v>165485.618729097</c:v>
                </c:pt>
                <c:pt idx="5">
                  <c:v>198261.538461538</c:v>
                </c:pt>
                <c:pt idx="6">
                  <c:v>214649.498327759</c:v>
                </c:pt>
                <c:pt idx="7">
                  <c:v>280201.337792642</c:v>
                </c:pt>
                <c:pt idx="8">
                  <c:v>312977.257525084</c:v>
                </c:pt>
                <c:pt idx="9">
                  <c:v>345753.177257525</c:v>
                </c:pt>
              </c:numCache>
            </c:numRef>
          </c:yVal>
          <c:smooth val="0"/>
        </c:ser>
        <c:dLbls>
          <c:showLegendKey val="0"/>
          <c:showVal val="0"/>
          <c:showCatName val="0"/>
          <c:showSerName val="0"/>
          <c:showPercent val="0"/>
          <c:showBubbleSize val="0"/>
        </c:dLbls>
        <c:axId val="377645760"/>
        <c:axId val="377642232"/>
      </c:scatterChart>
      <c:valAx>
        <c:axId val="3776457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377642232"/>
        <c:crosses val="autoZero"/>
        <c:crossBetween val="midCat"/>
      </c:valAx>
      <c:valAx>
        <c:axId val="377642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37764576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'M40'!$D$7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'M40'!$C$8:$C$18</c:f>
              <c:numCache>
                <c:formatCode>General</c:formatCode>
                <c:ptCount val="11"/>
                <c:pt idx="0">
                  <c:v>0</c:v>
                </c:pt>
                <c:pt idx="1">
                  <c:v>0</c:v>
                </c:pt>
                <c:pt idx="2">
                  <c:v>0.0185185185185185</c:v>
                </c:pt>
                <c:pt idx="3">
                  <c:v>0.0271604938271605</c:v>
                </c:pt>
                <c:pt idx="4">
                  <c:v>0.037037037037037</c:v>
                </c:pt>
                <c:pt idx="5">
                  <c:v>0.0555555555555556</c:v>
                </c:pt>
                <c:pt idx="6">
                  <c:v>0.0790123456790124</c:v>
                </c:pt>
                <c:pt idx="7">
                  <c:v>0.0925925925925926</c:v>
                </c:pt>
                <c:pt idx="8">
                  <c:v>0.0987654320987654</c:v>
                </c:pt>
                <c:pt idx="9">
                  <c:v>0.109876543209877</c:v>
                </c:pt>
                <c:pt idx="10">
                  <c:v>0.133333333333333</c:v>
                </c:pt>
              </c:numCache>
            </c:numRef>
          </c:xVal>
          <c:yVal>
            <c:numRef>
              <c:f>'M40'!$D$8:$D$18</c:f>
              <c:numCache>
                <c:formatCode>General</c:formatCode>
                <c:ptCount val="11"/>
                <c:pt idx="0">
                  <c:v>0</c:v>
                </c:pt>
                <c:pt idx="1">
                  <c:v>841.346153846154</c:v>
                </c:pt>
                <c:pt idx="2">
                  <c:v>9254.80769230769</c:v>
                </c:pt>
                <c:pt idx="3">
                  <c:v>17668.2692307692</c:v>
                </c:pt>
                <c:pt idx="4">
                  <c:v>26081.7307692308</c:v>
                </c:pt>
                <c:pt idx="5">
                  <c:v>42908.6538461539</c:v>
                </c:pt>
                <c:pt idx="6">
                  <c:v>59735.5769230769</c:v>
                </c:pt>
                <c:pt idx="7">
                  <c:v>76562.5</c:v>
                </c:pt>
                <c:pt idx="8">
                  <c:v>84975.9615384615</c:v>
                </c:pt>
                <c:pt idx="9">
                  <c:v>93389.4230769231</c:v>
                </c:pt>
                <c:pt idx="10">
                  <c:v>110216.346153846</c:v>
                </c:pt>
              </c:numCache>
            </c:numRef>
          </c:yVal>
          <c:smooth val="0"/>
        </c:ser>
        <c:dLbls>
          <c:showLegendKey val="0"/>
          <c:showVal val="0"/>
          <c:showCatName val="0"/>
          <c:showSerName val="0"/>
          <c:showPercent val="0"/>
          <c:showBubbleSize val="0"/>
        </c:dLbls>
        <c:axId val="533178792"/>
        <c:axId val="533176832"/>
      </c:scatterChart>
      <c:valAx>
        <c:axId val="5331787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3176832"/>
        <c:crosses val="autoZero"/>
        <c:crossBetween val="midCat"/>
      </c:valAx>
      <c:valAx>
        <c:axId val="53317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317879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'P2'!$D$7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'P2'!$C$8:$C$18</c:f>
              <c:numCache>
                <c:formatCode>General</c:formatCode>
                <c:ptCount val="11"/>
                <c:pt idx="0">
                  <c:v>0</c:v>
                </c:pt>
                <c:pt idx="1">
                  <c:v>0.00694444444444444</c:v>
                </c:pt>
                <c:pt idx="2">
                  <c:v>0.0208333333333333</c:v>
                </c:pt>
                <c:pt idx="3">
                  <c:v>0.0444444444444445</c:v>
                </c:pt>
                <c:pt idx="4">
                  <c:v>0.0694444444444444</c:v>
                </c:pt>
                <c:pt idx="5">
                  <c:v>0.0833333333333333</c:v>
                </c:pt>
                <c:pt idx="6">
                  <c:v>0.118055555555556</c:v>
                </c:pt>
                <c:pt idx="7">
                  <c:v>0.138888888888889</c:v>
                </c:pt>
                <c:pt idx="8">
                  <c:v>0.198611111111111</c:v>
                </c:pt>
                <c:pt idx="9">
                  <c:v>0.263888888888889</c:v>
                </c:pt>
                <c:pt idx="10">
                  <c:v>0.323611111111111</c:v>
                </c:pt>
              </c:numCache>
            </c:numRef>
          </c:xVal>
          <c:yVal>
            <c:numRef>
              <c:f>'P2'!$D$8:$D$18</c:f>
              <c:numCache>
                <c:formatCode>General</c:formatCode>
                <c:ptCount val="11"/>
                <c:pt idx="0">
                  <c:v>0</c:v>
                </c:pt>
                <c:pt idx="1">
                  <c:v>4704</c:v>
                </c:pt>
                <c:pt idx="2">
                  <c:v>34857.8461538462</c:v>
                </c:pt>
                <c:pt idx="3">
                  <c:v>65011.6923076923</c:v>
                </c:pt>
                <c:pt idx="4">
                  <c:v>95165.5384615385</c:v>
                </c:pt>
                <c:pt idx="5">
                  <c:v>125319.384615385</c:v>
                </c:pt>
                <c:pt idx="6">
                  <c:v>155473.230769231</c:v>
                </c:pt>
                <c:pt idx="7">
                  <c:v>185627.076923077</c:v>
                </c:pt>
                <c:pt idx="8">
                  <c:v>245934.769230769</c:v>
                </c:pt>
                <c:pt idx="9">
                  <c:v>306242.461538462</c:v>
                </c:pt>
                <c:pt idx="10">
                  <c:v>366550.153846154</c:v>
                </c:pt>
              </c:numCache>
            </c:numRef>
          </c:yVal>
          <c:smooth val="0"/>
        </c:ser>
        <c:dLbls>
          <c:showLegendKey val="0"/>
          <c:showVal val="0"/>
          <c:showCatName val="0"/>
          <c:showSerName val="0"/>
          <c:showPercent val="0"/>
          <c:showBubbleSize val="0"/>
        </c:dLbls>
        <c:axId val="741291752"/>
        <c:axId val="741293320"/>
      </c:scatterChart>
      <c:valAx>
        <c:axId val="7412917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41293320"/>
        <c:crosses val="autoZero"/>
        <c:crossBetween val="midCat"/>
      </c:valAx>
      <c:valAx>
        <c:axId val="741293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4129175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'P5'!$D$7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'P5'!$C$8:$C$15</c:f>
              <c:numCache>
                <c:formatCode>General</c:formatCode>
                <c:ptCount val="8"/>
                <c:pt idx="0">
                  <c:v>0</c:v>
                </c:pt>
                <c:pt idx="1">
                  <c:v>0.0428571428571429</c:v>
                </c:pt>
                <c:pt idx="2">
                  <c:v>0.0428571428571429</c:v>
                </c:pt>
                <c:pt idx="3">
                  <c:v>0.0714285714285714</c:v>
                </c:pt>
                <c:pt idx="4">
                  <c:v>0.0714285714285714</c:v>
                </c:pt>
                <c:pt idx="5">
                  <c:v>0.0857142857142857</c:v>
                </c:pt>
                <c:pt idx="6">
                  <c:v>0.0857142857142857</c:v>
                </c:pt>
                <c:pt idx="7">
                  <c:v>0.1</c:v>
                </c:pt>
              </c:numCache>
            </c:numRef>
          </c:xVal>
          <c:yVal>
            <c:numRef>
              <c:f>'P5'!$D$8:$D$15</c:f>
              <c:numCache>
                <c:formatCode>General</c:formatCode>
                <c:ptCount val="8"/>
                <c:pt idx="0">
                  <c:v>0</c:v>
                </c:pt>
                <c:pt idx="1">
                  <c:v>25128.2051282051</c:v>
                </c:pt>
                <c:pt idx="2">
                  <c:v>50256.4102564103</c:v>
                </c:pt>
                <c:pt idx="3">
                  <c:v>75384.6153846154</c:v>
                </c:pt>
                <c:pt idx="4">
                  <c:v>87948.717948718</c:v>
                </c:pt>
                <c:pt idx="5">
                  <c:v>100512.820512821</c:v>
                </c:pt>
                <c:pt idx="6">
                  <c:v>113076.923076923</c:v>
                </c:pt>
                <c:pt idx="7">
                  <c:v>125641.025641026</c:v>
                </c:pt>
              </c:numCache>
            </c:numRef>
          </c:yVal>
          <c:smooth val="0"/>
        </c:ser>
        <c:dLbls>
          <c:showLegendKey val="0"/>
          <c:showVal val="0"/>
          <c:showCatName val="0"/>
          <c:showSerName val="0"/>
          <c:showPercent val="0"/>
          <c:showBubbleSize val="0"/>
        </c:dLbls>
        <c:axId val="536745232"/>
        <c:axId val="406874824"/>
      </c:scatterChart>
      <c:valAx>
        <c:axId val="5367452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6874824"/>
        <c:crosses val="autoZero"/>
        <c:crossBetween val="midCat"/>
      </c:valAx>
      <c:valAx>
        <c:axId val="406874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67452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'P8'!$D$7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'P8'!$C$8:$C$18</c:f>
              <c:numCache>
                <c:formatCode>General</c:formatCode>
                <c:ptCount val="11"/>
                <c:pt idx="0">
                  <c:v>0</c:v>
                </c:pt>
                <c:pt idx="1">
                  <c:v>0.0072992700729927</c:v>
                </c:pt>
                <c:pt idx="2">
                  <c:v>0.0291970802919708</c:v>
                </c:pt>
                <c:pt idx="3">
                  <c:v>0.037956204379562</c:v>
                </c:pt>
                <c:pt idx="4">
                  <c:v>0.0437956204379562</c:v>
                </c:pt>
                <c:pt idx="5">
                  <c:v>0.0627737226277372</c:v>
                </c:pt>
                <c:pt idx="6">
                  <c:v>0.072992700729927</c:v>
                </c:pt>
                <c:pt idx="7">
                  <c:v>0.0817518248175182</c:v>
                </c:pt>
                <c:pt idx="8">
                  <c:v>0.0934306569343066</c:v>
                </c:pt>
                <c:pt idx="9">
                  <c:v>0.110948905109489</c:v>
                </c:pt>
                <c:pt idx="10">
                  <c:v>0.122627737226277</c:v>
                </c:pt>
              </c:numCache>
            </c:numRef>
          </c:xVal>
          <c:yVal>
            <c:numRef>
              <c:f>'P8'!$D$8:$D$18</c:f>
              <c:numCache>
                <c:formatCode>General</c:formatCode>
                <c:ptCount val="11"/>
                <c:pt idx="0">
                  <c:v>0</c:v>
                </c:pt>
                <c:pt idx="1">
                  <c:v>4173.07692307692</c:v>
                </c:pt>
                <c:pt idx="2">
                  <c:v>17634.6153846154</c:v>
                </c:pt>
                <c:pt idx="3">
                  <c:v>31096.1538461539</c:v>
                </c:pt>
                <c:pt idx="4">
                  <c:v>44557.6923076923</c:v>
                </c:pt>
                <c:pt idx="5">
                  <c:v>71480.7692307692</c:v>
                </c:pt>
                <c:pt idx="6">
                  <c:v>84942.3076923077</c:v>
                </c:pt>
                <c:pt idx="7">
                  <c:v>98403.8461538462</c:v>
                </c:pt>
                <c:pt idx="8">
                  <c:v>111865.384615385</c:v>
                </c:pt>
                <c:pt idx="9">
                  <c:v>138788.461538462</c:v>
                </c:pt>
                <c:pt idx="10">
                  <c:v>152250</c:v>
                </c:pt>
              </c:numCache>
            </c:numRef>
          </c:yVal>
          <c:smooth val="0"/>
        </c:ser>
        <c:dLbls>
          <c:showLegendKey val="0"/>
          <c:showVal val="0"/>
          <c:showCatName val="0"/>
          <c:showSerName val="0"/>
          <c:showPercent val="0"/>
          <c:showBubbleSize val="0"/>
        </c:dLbls>
        <c:axId val="533600568"/>
        <c:axId val="533599000"/>
      </c:scatterChart>
      <c:valAx>
        <c:axId val="5336005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3599000"/>
        <c:crosses val="autoZero"/>
        <c:crossBetween val="midCat"/>
      </c:valAx>
      <c:valAx>
        <c:axId val="533599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360056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'P12'!$D$7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'P12'!$C$8:$C$17</c:f>
              <c:numCache>
                <c:formatCode>General</c:formatCode>
                <c:ptCount val="10"/>
                <c:pt idx="0">
                  <c:v>0</c:v>
                </c:pt>
                <c:pt idx="1">
                  <c:v>0.012987012987013</c:v>
                </c:pt>
                <c:pt idx="2">
                  <c:v>0.038961038961039</c:v>
                </c:pt>
                <c:pt idx="3">
                  <c:v>0.051948051948052</c:v>
                </c:pt>
                <c:pt idx="4">
                  <c:v>0.0649350649350649</c:v>
                </c:pt>
                <c:pt idx="5">
                  <c:v>0.0844155844155844</c:v>
                </c:pt>
                <c:pt idx="6">
                  <c:v>0.103896103896104</c:v>
                </c:pt>
                <c:pt idx="7">
                  <c:v>0.116883116883117</c:v>
                </c:pt>
                <c:pt idx="8">
                  <c:v>0.12987012987013</c:v>
                </c:pt>
                <c:pt idx="9">
                  <c:v>0.181818181818182</c:v>
                </c:pt>
              </c:numCache>
            </c:numRef>
          </c:xVal>
          <c:yVal>
            <c:numRef>
              <c:f>'P12'!$D$8:$D$17</c:f>
              <c:numCache>
                <c:formatCode>General</c:formatCode>
                <c:ptCount val="10"/>
                <c:pt idx="0">
                  <c:v>0</c:v>
                </c:pt>
                <c:pt idx="1">
                  <c:v>55508.2051282051</c:v>
                </c:pt>
                <c:pt idx="2">
                  <c:v>68072.3076923077</c:v>
                </c:pt>
                <c:pt idx="3">
                  <c:v>80636.4102564103</c:v>
                </c:pt>
                <c:pt idx="4">
                  <c:v>93200.5128205128</c:v>
                </c:pt>
                <c:pt idx="5">
                  <c:v>105764.615384615</c:v>
                </c:pt>
                <c:pt idx="6">
                  <c:v>118328.717948718</c:v>
                </c:pt>
                <c:pt idx="7">
                  <c:v>130892.820512821</c:v>
                </c:pt>
                <c:pt idx="8">
                  <c:v>143456.923076923</c:v>
                </c:pt>
                <c:pt idx="9">
                  <c:v>168585.128205128</c:v>
                </c:pt>
              </c:numCache>
            </c:numRef>
          </c:yVal>
          <c:smooth val="0"/>
        </c:ser>
        <c:dLbls>
          <c:showLegendKey val="0"/>
          <c:showVal val="0"/>
          <c:showCatName val="0"/>
          <c:showSerName val="0"/>
          <c:showPercent val="0"/>
          <c:showBubbleSize val="0"/>
        </c:dLbls>
        <c:axId val="536718488"/>
        <c:axId val="536716920"/>
      </c:scatterChart>
      <c:valAx>
        <c:axId val="5367184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6716920"/>
        <c:crosses val="autoZero"/>
        <c:crossBetween val="midCat"/>
      </c:valAx>
      <c:valAx>
        <c:axId val="536716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671848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'P13'!$D$7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'P13'!$C$8:$C$18</c:f>
              <c:numCache>
                <c:formatCode>General</c:formatCode>
                <c:ptCount val="11"/>
                <c:pt idx="0">
                  <c:v>0</c:v>
                </c:pt>
                <c:pt idx="1">
                  <c:v>0</c:v>
                </c:pt>
                <c:pt idx="2">
                  <c:v>0.0266666666666667</c:v>
                </c:pt>
                <c:pt idx="3">
                  <c:v>0.04</c:v>
                </c:pt>
                <c:pt idx="4">
                  <c:v>0.04</c:v>
                </c:pt>
                <c:pt idx="5">
                  <c:v>0.0506666666666666</c:v>
                </c:pt>
                <c:pt idx="6">
                  <c:v>0.056</c:v>
                </c:pt>
                <c:pt idx="7">
                  <c:v>0.0653333333333334</c:v>
                </c:pt>
                <c:pt idx="8">
                  <c:v>0.0666666666666667</c:v>
                </c:pt>
                <c:pt idx="9">
                  <c:v>0.08</c:v>
                </c:pt>
                <c:pt idx="10">
                  <c:v>0.109333333333333</c:v>
                </c:pt>
              </c:numCache>
            </c:numRef>
          </c:xVal>
          <c:yVal>
            <c:numRef>
              <c:f>'P13'!$D$8:$D$18</c:f>
              <c:numCache>
                <c:formatCode>General</c:formatCode>
                <c:ptCount val="11"/>
                <c:pt idx="0">
                  <c:v>0</c:v>
                </c:pt>
                <c:pt idx="1">
                  <c:v>1231.28205128205</c:v>
                </c:pt>
                <c:pt idx="2">
                  <c:v>13795.3846153846</c:v>
                </c:pt>
                <c:pt idx="3">
                  <c:v>26359.4871794872</c:v>
                </c:pt>
                <c:pt idx="4">
                  <c:v>38923.5897435897</c:v>
                </c:pt>
                <c:pt idx="5">
                  <c:v>51487.6923076923</c:v>
                </c:pt>
                <c:pt idx="6">
                  <c:v>64051.7948717949</c:v>
                </c:pt>
                <c:pt idx="7">
                  <c:v>76615.8974358974</c:v>
                </c:pt>
                <c:pt idx="8">
                  <c:v>89180</c:v>
                </c:pt>
                <c:pt idx="9">
                  <c:v>101744.102564103</c:v>
                </c:pt>
                <c:pt idx="10">
                  <c:v>126872.307692308</c:v>
                </c:pt>
              </c:numCache>
            </c:numRef>
          </c:yVal>
          <c:smooth val="0"/>
        </c:ser>
        <c:dLbls>
          <c:showLegendKey val="0"/>
          <c:showVal val="0"/>
          <c:showCatName val="0"/>
          <c:showSerName val="0"/>
          <c:showPercent val="0"/>
          <c:showBubbleSize val="0"/>
        </c:dLbls>
        <c:axId val="406875216"/>
        <c:axId val="406876000"/>
      </c:scatterChart>
      <c:valAx>
        <c:axId val="406875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6876000"/>
        <c:crosses val="autoZero"/>
        <c:crossBetween val="midCat"/>
      </c:valAx>
      <c:valAx>
        <c:axId val="406876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687521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'P22'!$D$7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'P22'!$C$8:$C$18</c:f>
              <c:numCache>
                <c:formatCode>General</c:formatCode>
                <c:ptCount val="11"/>
                <c:pt idx="0">
                  <c:v>0</c:v>
                </c:pt>
                <c:pt idx="1">
                  <c:v>0.00649350649350649</c:v>
                </c:pt>
                <c:pt idx="2">
                  <c:v>0.0298701298701298</c:v>
                </c:pt>
                <c:pt idx="3">
                  <c:v>0.0441558441558442</c:v>
                </c:pt>
                <c:pt idx="4">
                  <c:v>0.0714285714285714</c:v>
                </c:pt>
                <c:pt idx="5">
                  <c:v>0.0766233766233767</c:v>
                </c:pt>
                <c:pt idx="6">
                  <c:v>0.0909090909090909</c:v>
                </c:pt>
                <c:pt idx="7">
                  <c:v>0.109090909090909</c:v>
                </c:pt>
                <c:pt idx="8">
                  <c:v>0.127272727272727</c:v>
                </c:pt>
                <c:pt idx="9">
                  <c:v>0.135064935064935</c:v>
                </c:pt>
              </c:numCache>
            </c:numRef>
          </c:xVal>
          <c:yVal>
            <c:numRef>
              <c:f>'P22'!$D$8:$D$18</c:f>
              <c:numCache>
                <c:formatCode>General</c:formatCode>
                <c:ptCount val="11"/>
                <c:pt idx="0">
                  <c:v>0</c:v>
                </c:pt>
                <c:pt idx="1">
                  <c:v>4529.77777777778</c:v>
                </c:pt>
                <c:pt idx="2">
                  <c:v>62603.8518518519</c:v>
                </c:pt>
                <c:pt idx="3">
                  <c:v>91640.8888888889</c:v>
                </c:pt>
                <c:pt idx="4">
                  <c:v>120677.925925926</c:v>
                </c:pt>
                <c:pt idx="5">
                  <c:v>135196.444444444</c:v>
                </c:pt>
                <c:pt idx="6">
                  <c:v>164233.481481482</c:v>
                </c:pt>
                <c:pt idx="7">
                  <c:v>193270.518518519</c:v>
                </c:pt>
                <c:pt idx="8">
                  <c:v>222307.555555556</c:v>
                </c:pt>
                <c:pt idx="9">
                  <c:v>236826.074074074</c:v>
                </c:pt>
              </c:numCache>
            </c:numRef>
          </c:yVal>
          <c:smooth val="0"/>
        </c:ser>
        <c:dLbls>
          <c:showLegendKey val="0"/>
          <c:showVal val="0"/>
          <c:showCatName val="0"/>
          <c:showSerName val="0"/>
          <c:showPercent val="0"/>
          <c:showBubbleSize val="0"/>
        </c:dLbls>
        <c:axId val="534649536"/>
        <c:axId val="534651496"/>
      </c:scatterChart>
      <c:valAx>
        <c:axId val="5346495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4651496"/>
        <c:crosses val="autoZero"/>
        <c:crossBetween val="midCat"/>
      </c:valAx>
      <c:valAx>
        <c:axId val="534651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464953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'P24'!$D$7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'P24'!$C$8:$C$18</c:f>
              <c:numCache>
                <c:formatCode>General</c:formatCode>
                <c:ptCount val="11"/>
                <c:pt idx="0">
                  <c:v>0</c:v>
                </c:pt>
                <c:pt idx="1">
                  <c:v>0.0615384615384615</c:v>
                </c:pt>
                <c:pt idx="2">
                  <c:v>0.0769230769230769</c:v>
                </c:pt>
                <c:pt idx="3">
                  <c:v>0.0923076923076923</c:v>
                </c:pt>
                <c:pt idx="4">
                  <c:v>0.138461538461538</c:v>
                </c:pt>
                <c:pt idx="5">
                  <c:v>0.2</c:v>
                </c:pt>
                <c:pt idx="6">
                  <c:v>0.230769230769231</c:v>
                </c:pt>
                <c:pt idx="7">
                  <c:v>0.246153846153846</c:v>
                </c:pt>
                <c:pt idx="8">
                  <c:v>0.276923076923077</c:v>
                </c:pt>
                <c:pt idx="9">
                  <c:v>0.292307692307692</c:v>
                </c:pt>
              </c:numCache>
            </c:numRef>
          </c:xVal>
          <c:yVal>
            <c:numRef>
              <c:f>'P24'!$D$8:$D$18</c:f>
              <c:numCache>
                <c:formatCode>General</c:formatCode>
                <c:ptCount val="11"/>
                <c:pt idx="0">
                  <c:v>0</c:v>
                </c:pt>
                <c:pt idx="1">
                  <c:v>3819.48717948718</c:v>
                </c:pt>
                <c:pt idx="2">
                  <c:v>28947.6923076923</c:v>
                </c:pt>
                <c:pt idx="3">
                  <c:v>54075.8974358974</c:v>
                </c:pt>
                <c:pt idx="4">
                  <c:v>104332.307692308</c:v>
                </c:pt>
                <c:pt idx="5">
                  <c:v>154588.717948718</c:v>
                </c:pt>
                <c:pt idx="6">
                  <c:v>179716.923076923</c:v>
                </c:pt>
                <c:pt idx="7">
                  <c:v>204845.128205128</c:v>
                </c:pt>
                <c:pt idx="8">
                  <c:v>229973.333333333</c:v>
                </c:pt>
                <c:pt idx="9">
                  <c:v>255101.538461538</c:v>
                </c:pt>
              </c:numCache>
            </c:numRef>
          </c:yVal>
          <c:smooth val="0"/>
        </c:ser>
        <c:dLbls>
          <c:showLegendKey val="0"/>
          <c:showVal val="0"/>
          <c:showCatName val="0"/>
          <c:showSerName val="0"/>
          <c:showPercent val="0"/>
          <c:showBubbleSize val="0"/>
        </c:dLbls>
        <c:axId val="684366832"/>
        <c:axId val="684364872"/>
      </c:scatterChart>
      <c:valAx>
        <c:axId val="6843668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84364872"/>
        <c:crosses val="autoZero"/>
        <c:crossBetween val="midCat"/>
      </c:valAx>
      <c:valAx>
        <c:axId val="684364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843668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'P37'!$C$8:$C$18</c:f>
              <c:numCache>
                <c:formatCode>General</c:formatCode>
                <c:ptCount val="11"/>
                <c:pt idx="0">
                  <c:v>0</c:v>
                </c:pt>
                <c:pt idx="1">
                  <c:v>0</c:v>
                </c:pt>
                <c:pt idx="2">
                  <c:v>0.0151515151515152</c:v>
                </c:pt>
                <c:pt idx="3">
                  <c:v>0.0303030303030303</c:v>
                </c:pt>
                <c:pt idx="4">
                  <c:v>0.0454545454545455</c:v>
                </c:pt>
                <c:pt idx="5">
                  <c:v>0.0606060606060606</c:v>
                </c:pt>
                <c:pt idx="6">
                  <c:v>0.0757575757575758</c:v>
                </c:pt>
                <c:pt idx="7">
                  <c:v>0.0757575757575758</c:v>
                </c:pt>
                <c:pt idx="8">
                  <c:v>0.106060606060606</c:v>
                </c:pt>
                <c:pt idx="9">
                  <c:v>0.136363636363636</c:v>
                </c:pt>
                <c:pt idx="10">
                  <c:v>0.151515151515152</c:v>
                </c:pt>
              </c:numCache>
            </c:numRef>
          </c:xVal>
          <c:yVal>
            <c:numRef>
              <c:f>'P37'!$D$8:$D$18</c:f>
              <c:numCache>
                <c:formatCode>General</c:formatCode>
                <c:ptCount val="11"/>
                <c:pt idx="0">
                  <c:v>0</c:v>
                </c:pt>
                <c:pt idx="1">
                  <c:v>4087.78625954199</c:v>
                </c:pt>
                <c:pt idx="2">
                  <c:v>17446.5648854962</c:v>
                </c:pt>
                <c:pt idx="3">
                  <c:v>30805.3435114504</c:v>
                </c:pt>
                <c:pt idx="4">
                  <c:v>44164.1221374046</c:v>
                </c:pt>
                <c:pt idx="5">
                  <c:v>57522.9007633588</c:v>
                </c:pt>
                <c:pt idx="6">
                  <c:v>70881.679389313</c:v>
                </c:pt>
                <c:pt idx="7">
                  <c:v>84240.4580152672</c:v>
                </c:pt>
                <c:pt idx="8">
                  <c:v>110958.015267176</c:v>
                </c:pt>
                <c:pt idx="9">
                  <c:v>137675.572519084</c:v>
                </c:pt>
                <c:pt idx="10">
                  <c:v>151034.351145038</c:v>
                </c:pt>
              </c:numCache>
            </c:numRef>
          </c:yVal>
          <c:smooth val="0"/>
        </c:ser>
        <c:dLbls>
          <c:showLegendKey val="0"/>
          <c:showVal val="0"/>
          <c:showCatName val="0"/>
          <c:showSerName val="0"/>
          <c:showPercent val="0"/>
          <c:showBubbleSize val="0"/>
        </c:dLbls>
        <c:axId val="697207928"/>
        <c:axId val="697208320"/>
      </c:scatterChart>
      <c:valAx>
        <c:axId val="6972079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97208320"/>
        <c:crosses val="autoZero"/>
        <c:crossBetween val="midCat"/>
      </c:valAx>
      <c:valAx>
        <c:axId val="697208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9720792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marker"/>
        <c:varyColors val="0"/>
        <c:ser>
          <c:idx val="0"/>
          <c:order val="0"/>
          <c:tx>
            <c:strRef>
              <c:f>PB!$D$7</c:f>
              <c:strCache>
                <c:ptCount val="1"/>
                <c:pt idx="0">
                  <c:v>Stress</c:v>
                </c:pt>
              </c:strCache>
            </c:strRef>
          </c:tx>
          <c:spPr>
            <a:ln w="19050" cap="rnd">
              <a:noFill/>
              <a:round/>
            </a:ln>
            <a:effectLst/>
          </c:spPr>
          <c:marker>
            <c:symbol val="circle"/>
            <c:size val="5"/>
            <c:spPr>
              <a:solidFill>
                <a:schemeClr val="accent1"/>
              </a:solidFill>
              <a:ln w="9525">
                <a:solidFill>
                  <a:schemeClr val="accent1"/>
                </a:solidFill>
              </a:ln>
              <a:effectLst/>
            </c:spPr>
          </c:marker>
          <c:dLbls>
            <c:delete val="1"/>
          </c:dLbls>
          <c:trendline>
            <c:spPr>
              <a:ln w="19050" cap="rnd">
                <a:solidFill>
                  <a:schemeClr val="accent1"/>
                </a:solidFill>
                <a:prstDash val="sysDot"/>
              </a:ln>
              <a:effectLst/>
            </c:spPr>
            <c:trendlineType val="linear"/>
            <c:dispRSqr val="1"/>
            <c:dispEq val="1"/>
            <c:trendlineLbl>
              <c:layout/>
              <c:numFmt formatCode="General" sourceLinked="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trendlineLbl>
          </c:trendline>
          <c:xVal>
            <c:numRef>
              <c:f>PB!$C$8:$C$18</c:f>
              <c:numCache>
                <c:formatCode>General</c:formatCode>
                <c:ptCount val="11"/>
                <c:pt idx="0">
                  <c:v>0</c:v>
                </c:pt>
                <c:pt idx="1">
                  <c:v>0</c:v>
                </c:pt>
                <c:pt idx="2">
                  <c:v>0.0115606936416185</c:v>
                </c:pt>
                <c:pt idx="3">
                  <c:v>0.0158959537572253</c:v>
                </c:pt>
                <c:pt idx="4">
                  <c:v>0.0245664739884393</c:v>
                </c:pt>
                <c:pt idx="5">
                  <c:v>0.0289017341040462</c:v>
                </c:pt>
                <c:pt idx="6">
                  <c:v>0.03757225433526</c:v>
                </c:pt>
                <c:pt idx="7">
                  <c:v>0.0433526011560694</c:v>
                </c:pt>
                <c:pt idx="8">
                  <c:v>0.0505780346820809</c:v>
                </c:pt>
                <c:pt idx="9">
                  <c:v>0.05635838150289</c:v>
                </c:pt>
                <c:pt idx="10">
                  <c:v>0.0621387283236994</c:v>
                </c:pt>
              </c:numCache>
            </c:numRef>
          </c:xVal>
          <c:yVal>
            <c:numRef>
              <c:f>PB!$D$8:$D$18</c:f>
              <c:numCache>
                <c:formatCode>General</c:formatCode>
                <c:ptCount val="11"/>
                <c:pt idx="0">
                  <c:v>0</c:v>
                </c:pt>
                <c:pt idx="1">
                  <c:v>3968.12957157785</c:v>
                </c:pt>
                <c:pt idx="2">
                  <c:v>29568.9655172414</c:v>
                </c:pt>
                <c:pt idx="3">
                  <c:v>42369.3834900732</c:v>
                </c:pt>
                <c:pt idx="4">
                  <c:v>55169.8014629049</c:v>
                </c:pt>
                <c:pt idx="5">
                  <c:v>67970.2194357367</c:v>
                </c:pt>
                <c:pt idx="6">
                  <c:v>80770.6374085684</c:v>
                </c:pt>
                <c:pt idx="7">
                  <c:v>93571.0553814002</c:v>
                </c:pt>
                <c:pt idx="8">
                  <c:v>106371.473354232</c:v>
                </c:pt>
                <c:pt idx="9">
                  <c:v>119171.891327064</c:v>
                </c:pt>
                <c:pt idx="10">
                  <c:v>131972.309299896</c:v>
                </c:pt>
              </c:numCache>
            </c:numRef>
          </c:yVal>
          <c:smooth val="0"/>
        </c:ser>
        <c:dLbls>
          <c:showLegendKey val="0"/>
          <c:showVal val="0"/>
          <c:showCatName val="0"/>
          <c:showSerName val="0"/>
          <c:showPercent val="0"/>
          <c:showBubbleSize val="0"/>
        </c:dLbls>
        <c:axId val="538634344"/>
        <c:axId val="538634736"/>
      </c:scatterChart>
      <c:valAx>
        <c:axId val="5386343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8634736"/>
        <c:crosses val="autoZero"/>
        <c:crossBetween val="midCat"/>
      </c:valAx>
      <c:valAx>
        <c:axId val="538634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863434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7</xdr:col>
      <xdr:colOff>175260</xdr:colOff>
      <xdr:row>11</xdr:row>
      <xdr:rowOff>83820</xdr:rowOff>
    </xdr:from>
    <xdr:to>
      <xdr:col>17</xdr:col>
      <xdr:colOff>220980</xdr:colOff>
      <xdr:row>29</xdr:row>
      <xdr:rowOff>129540</xdr:rowOff>
    </xdr:to>
    <xdr:graphicFrame>
      <xdr:nvGraphicFramePr>
        <xdr:cNvPr id="6" name="图表 5"/>
        <xdr:cNvGraphicFramePr/>
      </xdr:nvGraphicFramePr>
      <xdr:xfrm>
        <a:off x="6111240" y="2011680"/>
        <a:ext cx="7033260" cy="3200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6</xdr:col>
      <xdr:colOff>434340</xdr:colOff>
      <xdr:row>24</xdr:row>
      <xdr:rowOff>160020</xdr:rowOff>
    </xdr:from>
    <xdr:to>
      <xdr:col>14</xdr:col>
      <xdr:colOff>586740</xdr:colOff>
      <xdr:row>43</xdr:row>
      <xdr:rowOff>45720</xdr:rowOff>
    </xdr:to>
    <xdr:graphicFrame>
      <xdr:nvGraphicFramePr>
        <xdr:cNvPr id="2" name="图表 1"/>
        <xdr:cNvGraphicFramePr/>
      </xdr:nvGraphicFramePr>
      <xdr:xfrm>
        <a:off x="5234940" y="4366260"/>
        <a:ext cx="6423660" cy="32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4</xdr:col>
      <xdr:colOff>236220</xdr:colOff>
      <xdr:row>3</xdr:row>
      <xdr:rowOff>34290</xdr:rowOff>
    </xdr:from>
    <xdr:to>
      <xdr:col>11</xdr:col>
      <xdr:colOff>541020</xdr:colOff>
      <xdr:row>17</xdr:row>
      <xdr:rowOff>34290</xdr:rowOff>
    </xdr:to>
    <xdr:graphicFrame>
      <xdr:nvGraphicFramePr>
        <xdr:cNvPr id="2" name="Chart 1"/>
        <xdr:cNvGraphicFramePr/>
      </xdr:nvGraphicFramePr>
      <xdr:xfrm>
        <a:off x="6537960" y="575310"/>
        <a:ext cx="4625340" cy="245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4</xdr:col>
      <xdr:colOff>472440</xdr:colOff>
      <xdr:row>4</xdr:row>
      <xdr:rowOff>11430</xdr:rowOff>
    </xdr:from>
    <xdr:to>
      <xdr:col>12</xdr:col>
      <xdr:colOff>167640</xdr:colOff>
      <xdr:row>18</xdr:row>
      <xdr:rowOff>11430</xdr:rowOff>
    </xdr:to>
    <xdr:graphicFrame>
      <xdr:nvGraphicFramePr>
        <xdr:cNvPr id="2" name="Chart 3"/>
        <xdr:cNvGraphicFramePr/>
      </xdr:nvGraphicFramePr>
      <xdr:xfrm>
        <a:off x="6774180" y="727710"/>
        <a:ext cx="4632960" cy="245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4</xdr:col>
      <xdr:colOff>281940</xdr:colOff>
      <xdr:row>1</xdr:row>
      <xdr:rowOff>133350</xdr:rowOff>
    </xdr:from>
    <xdr:to>
      <xdr:col>11</xdr:col>
      <xdr:colOff>586740</xdr:colOff>
      <xdr:row>16</xdr:row>
      <xdr:rowOff>133350</xdr:rowOff>
    </xdr:to>
    <xdr:graphicFrame>
      <xdr:nvGraphicFramePr>
        <xdr:cNvPr id="2" name="Chart 2"/>
        <xdr:cNvGraphicFramePr/>
      </xdr:nvGraphicFramePr>
      <xdr:xfrm>
        <a:off x="6583680" y="316230"/>
        <a:ext cx="4625340" cy="2636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4</xdr:col>
      <xdr:colOff>167640</xdr:colOff>
      <xdr:row>3</xdr:row>
      <xdr:rowOff>11430</xdr:rowOff>
    </xdr:from>
    <xdr:to>
      <xdr:col>11</xdr:col>
      <xdr:colOff>472440</xdr:colOff>
      <xdr:row>18</xdr:row>
      <xdr:rowOff>11430</xdr:rowOff>
    </xdr:to>
    <xdr:graphicFrame>
      <xdr:nvGraphicFramePr>
        <xdr:cNvPr id="2" name="Chart 1"/>
        <xdr:cNvGraphicFramePr/>
      </xdr:nvGraphicFramePr>
      <xdr:xfrm>
        <a:off x="6469380" y="552450"/>
        <a:ext cx="4625340" cy="26289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4</xdr:col>
      <xdr:colOff>198120</xdr:colOff>
      <xdr:row>1</xdr:row>
      <xdr:rowOff>163830</xdr:rowOff>
    </xdr:from>
    <xdr:to>
      <xdr:col>11</xdr:col>
      <xdr:colOff>502920</xdr:colOff>
      <xdr:row>15</xdr:row>
      <xdr:rowOff>163830</xdr:rowOff>
    </xdr:to>
    <xdr:graphicFrame>
      <xdr:nvGraphicFramePr>
        <xdr:cNvPr id="2" name="Chart 1"/>
        <xdr:cNvGraphicFramePr/>
      </xdr:nvGraphicFramePr>
      <xdr:xfrm>
        <a:off x="6499860" y="346710"/>
        <a:ext cx="4625340" cy="24612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4</xdr:col>
      <xdr:colOff>297180</xdr:colOff>
      <xdr:row>1</xdr:row>
      <xdr:rowOff>140970</xdr:rowOff>
    </xdr:from>
    <xdr:to>
      <xdr:col>11</xdr:col>
      <xdr:colOff>601980</xdr:colOff>
      <xdr:row>16</xdr:row>
      <xdr:rowOff>140970</xdr:rowOff>
    </xdr:to>
    <xdr:graphicFrame>
      <xdr:nvGraphicFramePr>
        <xdr:cNvPr id="2" name="Chart 1"/>
        <xdr:cNvGraphicFramePr/>
      </xdr:nvGraphicFramePr>
      <xdr:xfrm>
        <a:off x="6598920" y="323850"/>
        <a:ext cx="4625340" cy="2636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4</xdr:col>
      <xdr:colOff>228600</xdr:colOff>
      <xdr:row>2</xdr:row>
      <xdr:rowOff>163830</xdr:rowOff>
    </xdr:from>
    <xdr:to>
      <xdr:col>11</xdr:col>
      <xdr:colOff>533400</xdr:colOff>
      <xdr:row>17</xdr:row>
      <xdr:rowOff>163830</xdr:rowOff>
    </xdr:to>
    <xdr:graphicFrame>
      <xdr:nvGraphicFramePr>
        <xdr:cNvPr id="2" name="Chart 2"/>
        <xdr:cNvGraphicFramePr/>
      </xdr:nvGraphicFramePr>
      <xdr:xfrm>
        <a:off x="6530340" y="529590"/>
        <a:ext cx="4625340" cy="26289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4</xdr:col>
      <xdr:colOff>289560</xdr:colOff>
      <xdr:row>1</xdr:row>
      <xdr:rowOff>95250</xdr:rowOff>
    </xdr:from>
    <xdr:to>
      <xdr:col>11</xdr:col>
      <xdr:colOff>594360</xdr:colOff>
      <xdr:row>15</xdr:row>
      <xdr:rowOff>60960</xdr:rowOff>
    </xdr:to>
    <xdr:graphicFrame>
      <xdr:nvGraphicFramePr>
        <xdr:cNvPr id="2" name="Chart 3"/>
        <xdr:cNvGraphicFramePr/>
      </xdr:nvGraphicFramePr>
      <xdr:xfrm>
        <a:off x="6591300" y="278130"/>
        <a:ext cx="4625340" cy="242697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4</xdr:col>
      <xdr:colOff>274320</xdr:colOff>
      <xdr:row>3</xdr:row>
      <xdr:rowOff>171450</xdr:rowOff>
    </xdr:from>
    <xdr:to>
      <xdr:col>11</xdr:col>
      <xdr:colOff>579120</xdr:colOff>
      <xdr:row>18</xdr:row>
      <xdr:rowOff>171450</xdr:rowOff>
    </xdr:to>
    <xdr:graphicFrame>
      <xdr:nvGraphicFramePr>
        <xdr:cNvPr id="2" name="Chart 1"/>
        <xdr:cNvGraphicFramePr/>
      </xdr:nvGraphicFramePr>
      <xdr:xfrm>
        <a:off x="6576060" y="712470"/>
        <a:ext cx="4625340" cy="26289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4</xdr:col>
      <xdr:colOff>281940</xdr:colOff>
      <xdr:row>1</xdr:row>
      <xdr:rowOff>133350</xdr:rowOff>
    </xdr:from>
    <xdr:to>
      <xdr:col>11</xdr:col>
      <xdr:colOff>586740</xdr:colOff>
      <xdr:row>15</xdr:row>
      <xdr:rowOff>133350</xdr:rowOff>
    </xdr:to>
    <xdr:graphicFrame>
      <xdr:nvGraphicFramePr>
        <xdr:cNvPr id="2" name="Chart 2"/>
        <xdr:cNvGraphicFramePr/>
      </xdr:nvGraphicFramePr>
      <xdr:xfrm>
        <a:off x="6583680" y="316230"/>
        <a:ext cx="4625340" cy="24612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4</xdr:col>
      <xdr:colOff>236220</xdr:colOff>
      <xdr:row>3</xdr:row>
      <xdr:rowOff>34290</xdr:rowOff>
    </xdr:from>
    <xdr:to>
      <xdr:col>11</xdr:col>
      <xdr:colOff>541020</xdr:colOff>
      <xdr:row>18</xdr:row>
      <xdr:rowOff>34290</xdr:rowOff>
    </xdr:to>
    <xdr:graphicFrame>
      <xdr:nvGraphicFramePr>
        <xdr:cNvPr id="2" name="Chart 1"/>
        <xdr:cNvGraphicFramePr/>
      </xdr:nvGraphicFramePr>
      <xdr:xfrm>
        <a:off x="6537960" y="575310"/>
        <a:ext cx="4625340" cy="26289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r="http://schemas.openxmlformats.org/officeDocument/2006/relationships" xmlns:a="http://schemas.openxmlformats.org/drawingml/2006/main">
  <xdr:twoCellAnchor>
    <xdr:from>
      <xdr:col>4</xdr:col>
      <xdr:colOff>350520</xdr:colOff>
      <xdr:row>2</xdr:row>
      <xdr:rowOff>133350</xdr:rowOff>
    </xdr:from>
    <xdr:to>
      <xdr:col>12</xdr:col>
      <xdr:colOff>45720</xdr:colOff>
      <xdr:row>17</xdr:row>
      <xdr:rowOff>133350</xdr:rowOff>
    </xdr:to>
    <xdr:graphicFrame>
      <xdr:nvGraphicFramePr>
        <xdr:cNvPr id="2" name="Chart 1"/>
        <xdr:cNvGraphicFramePr/>
      </xdr:nvGraphicFramePr>
      <xdr:xfrm>
        <a:off x="6652260" y="499110"/>
        <a:ext cx="4632960" cy="26289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r="http://schemas.openxmlformats.org/officeDocument/2006/relationships" xmlns:a="http://schemas.openxmlformats.org/drawingml/2006/main">
  <xdr:twoCellAnchor>
    <xdr:from>
      <xdr:col>5</xdr:col>
      <xdr:colOff>228600</xdr:colOff>
      <xdr:row>3</xdr:row>
      <xdr:rowOff>57150</xdr:rowOff>
    </xdr:from>
    <xdr:to>
      <xdr:col>12</xdr:col>
      <xdr:colOff>533400</xdr:colOff>
      <xdr:row>18</xdr:row>
      <xdr:rowOff>57150</xdr:rowOff>
    </xdr:to>
    <xdr:graphicFrame>
      <xdr:nvGraphicFramePr>
        <xdr:cNvPr id="2" name="Chart 1"/>
        <xdr:cNvGraphicFramePr/>
      </xdr:nvGraphicFramePr>
      <xdr:xfrm>
        <a:off x="7147560" y="598170"/>
        <a:ext cx="4625340" cy="26289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r="http://schemas.openxmlformats.org/officeDocument/2006/relationships" xmlns:a="http://schemas.openxmlformats.org/drawingml/2006/main">
  <xdr:twoCellAnchor>
    <xdr:from>
      <xdr:col>4</xdr:col>
      <xdr:colOff>480060</xdr:colOff>
      <xdr:row>3</xdr:row>
      <xdr:rowOff>3810</xdr:rowOff>
    </xdr:from>
    <xdr:to>
      <xdr:col>12</xdr:col>
      <xdr:colOff>175260</xdr:colOff>
      <xdr:row>18</xdr:row>
      <xdr:rowOff>3810</xdr:rowOff>
    </xdr:to>
    <xdr:graphicFrame>
      <xdr:nvGraphicFramePr>
        <xdr:cNvPr id="2" name="Chart 1"/>
        <xdr:cNvGraphicFramePr/>
      </xdr:nvGraphicFramePr>
      <xdr:xfrm>
        <a:off x="6781800" y="544830"/>
        <a:ext cx="4632960" cy="26289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xdr:wsDr xmlns:xdr="http://schemas.openxmlformats.org/drawingml/2006/spreadsheetDrawing" xmlns:r="http://schemas.openxmlformats.org/officeDocument/2006/relationships" xmlns:a="http://schemas.openxmlformats.org/drawingml/2006/main">
  <xdr:twoCellAnchor>
    <xdr:from>
      <xdr:col>4</xdr:col>
      <xdr:colOff>205740</xdr:colOff>
      <xdr:row>2</xdr:row>
      <xdr:rowOff>64770</xdr:rowOff>
    </xdr:from>
    <xdr:to>
      <xdr:col>11</xdr:col>
      <xdr:colOff>510540</xdr:colOff>
      <xdr:row>17</xdr:row>
      <xdr:rowOff>64770</xdr:rowOff>
    </xdr:to>
    <xdr:graphicFrame>
      <xdr:nvGraphicFramePr>
        <xdr:cNvPr id="2" name="Chart 1"/>
        <xdr:cNvGraphicFramePr/>
      </xdr:nvGraphicFramePr>
      <xdr:xfrm>
        <a:off x="6507480" y="430530"/>
        <a:ext cx="4625340" cy="26289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qq&#25991;&#20214;\2847044283\FileRecv\[&#25913;]normal.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ormal distri UN-pol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2"/>
  <sheetViews>
    <sheetView topLeftCell="F1" workbookViewId="0">
      <selection activeCell="Q3" sqref="Q3:V3"/>
    </sheetView>
  </sheetViews>
  <sheetFormatPr defaultColWidth="8.88888888888889" defaultRowHeight="13.8"/>
  <cols>
    <col min="1" max="1" width="8.88888888888889" style="71"/>
    <col min="2" max="2" width="12.8888888888889" style="71"/>
    <col min="3" max="3" width="23.3333333333333" style="71" customWidth="1"/>
    <col min="4" max="5" width="11.7777777777778" style="71" customWidth="1"/>
    <col min="6" max="6" width="11.3333333333333" style="71" customWidth="1"/>
    <col min="7" max="7" width="12.3333333333333" style="71" customWidth="1"/>
    <col min="8" max="9" width="12.8888888888889" style="71"/>
    <col min="10" max="10" width="8.88888888888889" style="71"/>
    <col min="11" max="12" width="12.8888888888889" style="71"/>
    <col min="13" max="23" width="8.88888888888889" style="71"/>
    <col min="24" max="24" width="12.8888888888889" style="71"/>
    <col min="25" max="16384" width="8.88888888888889" style="71"/>
  </cols>
  <sheetData>
    <row r="1" spans="1:24">
      <c r="A1" s="72" t="s">
        <v>0</v>
      </c>
      <c r="B1" s="72"/>
      <c r="C1" s="72"/>
      <c r="D1" s="72"/>
      <c r="E1" s="72"/>
      <c r="F1" s="72"/>
      <c r="G1" s="72"/>
      <c r="H1" s="72"/>
      <c r="I1" s="72"/>
      <c r="J1" s="72"/>
      <c r="K1" s="72"/>
      <c r="L1" s="72"/>
      <c r="M1" s="82" t="s">
        <v>1</v>
      </c>
      <c r="N1" s="82"/>
      <c r="O1" s="82"/>
      <c r="P1" s="82"/>
      <c r="Q1" s="82"/>
      <c r="R1" s="82"/>
      <c r="S1" s="82"/>
      <c r="T1" s="82"/>
      <c r="U1" s="82"/>
      <c r="V1" s="82"/>
      <c r="W1" s="82"/>
      <c r="X1" s="82"/>
    </row>
    <row r="2" spans="1:24">
      <c r="A2" s="86" t="s">
        <v>2</v>
      </c>
      <c r="B2" s="86" t="s">
        <v>3</v>
      </c>
      <c r="C2" s="77" t="s">
        <v>4</v>
      </c>
      <c r="D2" s="77" t="s">
        <v>5</v>
      </c>
      <c r="E2" s="77" t="s">
        <v>6</v>
      </c>
      <c r="F2" s="77" t="s">
        <v>7</v>
      </c>
      <c r="G2" s="77" t="s">
        <v>8</v>
      </c>
      <c r="H2" s="77" t="s">
        <v>9</v>
      </c>
      <c r="I2" s="77" t="s">
        <v>10</v>
      </c>
      <c r="J2" s="77" t="s">
        <v>11</v>
      </c>
      <c r="K2" s="77" t="s">
        <v>4</v>
      </c>
      <c r="L2" s="77" t="s">
        <v>12</v>
      </c>
      <c r="M2" s="86" t="s">
        <v>2</v>
      </c>
      <c r="N2" s="86" t="s">
        <v>3</v>
      </c>
      <c r="O2" s="77" t="s">
        <v>4</v>
      </c>
      <c r="P2" s="77" t="s">
        <v>5</v>
      </c>
      <c r="Q2" s="77" t="s">
        <v>6</v>
      </c>
      <c r="R2" s="77" t="s">
        <v>7</v>
      </c>
      <c r="S2" s="77" t="s">
        <v>8</v>
      </c>
      <c r="T2" s="77" t="s">
        <v>9</v>
      </c>
      <c r="U2" s="77" t="s">
        <v>10</v>
      </c>
      <c r="V2" s="77" t="s">
        <v>11</v>
      </c>
      <c r="W2" s="77" t="s">
        <v>4</v>
      </c>
      <c r="X2" s="77" t="s">
        <v>12</v>
      </c>
    </row>
    <row r="3" spans="1:24">
      <c r="A3" s="86" t="s">
        <v>13</v>
      </c>
      <c r="B3" s="87">
        <v>1116141.87949237</v>
      </c>
      <c r="C3" s="86">
        <v>1116</v>
      </c>
      <c r="D3" s="77">
        <v>10</v>
      </c>
      <c r="E3" s="77">
        <f>AVERAGE(C3:C42)</f>
        <v>1187.175</v>
      </c>
      <c r="F3" s="77">
        <f>MODE(C3:C42)</f>
        <v>1350</v>
      </c>
      <c r="G3" s="77">
        <f>MEDIAN(C3:C42)</f>
        <v>1140</v>
      </c>
      <c r="H3" s="77">
        <f>_xlfn.STDEV.S(C3:C42)</f>
        <v>459.225093541785</v>
      </c>
      <c r="I3" s="74">
        <f>(H3)/40^(1/2)</f>
        <v>72.609862714796</v>
      </c>
      <c r="J3" s="74">
        <f>1.96*(I3)</f>
        <v>142.315330921</v>
      </c>
      <c r="K3" s="86">
        <v>1116</v>
      </c>
      <c r="L3" s="77">
        <f>_xlfn.NORM.DIST(K3,$E$3,$H$3,FALSE)</f>
        <v>0.000858357505091281</v>
      </c>
      <c r="M3" s="86" t="s">
        <v>13</v>
      </c>
      <c r="N3" s="87">
        <v>1116141.87949237</v>
      </c>
      <c r="O3" s="86">
        <v>1116</v>
      </c>
      <c r="P3" s="77">
        <v>10</v>
      </c>
      <c r="Q3" s="77">
        <f>AVERAGE(O3:O42)</f>
        <v>1213.675</v>
      </c>
      <c r="R3" s="77">
        <f>MODE(O3:O42)</f>
        <v>1170</v>
      </c>
      <c r="S3" s="77">
        <f>MEDIAN(O3:O42)</f>
        <v>1155</v>
      </c>
      <c r="T3" s="77">
        <f>_xlfn.STDEV.S(O3:O42)</f>
        <v>419.594394349151</v>
      </c>
      <c r="U3" s="74">
        <f>(T3)/40^(1/2)</f>
        <v>66.3436989791101</v>
      </c>
      <c r="V3" s="74">
        <f>1.96*(U3)</f>
        <v>130.033649999056</v>
      </c>
      <c r="W3" s="86">
        <v>1116</v>
      </c>
      <c r="X3" s="77">
        <f>_xlfn.NORM.DIST(W3,$Q$3,$T$3,FALSE)</f>
        <v>0.000925365908148053</v>
      </c>
    </row>
    <row r="4" spans="1:24">
      <c r="A4" s="93" t="s">
        <v>14</v>
      </c>
      <c r="B4" s="94">
        <v>1114817.50993138</v>
      </c>
      <c r="C4" s="93">
        <v>1110</v>
      </c>
      <c r="D4" s="95">
        <v>20</v>
      </c>
      <c r="E4" s="77"/>
      <c r="F4" s="77"/>
      <c r="G4" s="77"/>
      <c r="H4" s="77"/>
      <c r="I4" s="77"/>
      <c r="J4" s="77"/>
      <c r="K4" s="93">
        <v>1110</v>
      </c>
      <c r="L4" s="77">
        <f>_xlfn.NORM.DIST(K4,$E$3,$H$3,FALSE)</f>
        <v>0.000856547967488965</v>
      </c>
      <c r="M4" s="93" t="s">
        <v>14</v>
      </c>
      <c r="N4" s="94">
        <v>1116433.35490055</v>
      </c>
      <c r="O4" s="93">
        <v>1120</v>
      </c>
      <c r="P4" s="95">
        <v>30</v>
      </c>
      <c r="Q4" s="77"/>
      <c r="R4" s="77"/>
      <c r="S4" s="77"/>
      <c r="T4" s="77"/>
      <c r="U4" s="77"/>
      <c r="V4" s="77"/>
      <c r="W4" s="93">
        <v>1120</v>
      </c>
      <c r="X4" s="77">
        <f>_xlfn.NORM.DIST(W4,$Q$3,$T$3,FALSE)</f>
        <v>0.000927379561458909</v>
      </c>
    </row>
    <row r="5" spans="1:24">
      <c r="A5" s="86" t="s">
        <v>15</v>
      </c>
      <c r="B5" s="87">
        <v>967491.833245258</v>
      </c>
      <c r="C5" s="86">
        <v>970</v>
      </c>
      <c r="D5" s="77">
        <v>20</v>
      </c>
      <c r="E5" s="77"/>
      <c r="F5" s="77"/>
      <c r="G5" s="77"/>
      <c r="H5" s="77"/>
      <c r="I5" s="77"/>
      <c r="J5" s="77"/>
      <c r="K5" s="86">
        <v>970</v>
      </c>
      <c r="L5" s="77">
        <f>_xlfn.NORM.DIST(K5,$E$3,$H$3,FALSE)</f>
        <v>0.000776818439675671</v>
      </c>
      <c r="M5" s="86" t="s">
        <v>15</v>
      </c>
      <c r="N5" s="87">
        <v>967491.833245258</v>
      </c>
      <c r="O5" s="86">
        <v>970</v>
      </c>
      <c r="P5" s="77">
        <v>20</v>
      </c>
      <c r="Q5" s="77"/>
      <c r="R5" s="77"/>
      <c r="S5" s="77"/>
      <c r="T5" s="77"/>
      <c r="U5" s="77"/>
      <c r="V5" s="77"/>
      <c r="W5" s="86">
        <v>970</v>
      </c>
      <c r="X5" s="77">
        <f>_xlfn.NORM.DIST(W5,$Q$3,$T$3,FALSE)</f>
        <v>0.000803240666354416</v>
      </c>
    </row>
    <row r="6" spans="1:24">
      <c r="A6" s="86" t="s">
        <v>16</v>
      </c>
      <c r="B6" s="87">
        <v>2147888.96501817</v>
      </c>
      <c r="C6" s="86">
        <v>2150</v>
      </c>
      <c r="D6" s="77">
        <v>10</v>
      </c>
      <c r="E6" s="77"/>
      <c r="F6" s="77"/>
      <c r="G6" s="77"/>
      <c r="H6" s="77"/>
      <c r="I6" s="77"/>
      <c r="J6" s="77"/>
      <c r="K6" s="86">
        <v>2150</v>
      </c>
      <c r="L6" s="77">
        <f>_xlfn.NORM.DIST(K6,$E$3,$H$3,FALSE)</f>
        <v>9.64575822066348e-5</v>
      </c>
      <c r="M6" s="86" t="s">
        <v>16</v>
      </c>
      <c r="N6" s="87">
        <v>2147888.96501817</v>
      </c>
      <c r="O6" s="86">
        <v>2150</v>
      </c>
      <c r="P6" s="77">
        <v>10</v>
      </c>
      <c r="Q6" s="77"/>
      <c r="R6" s="77"/>
      <c r="S6" s="77"/>
      <c r="T6" s="77"/>
      <c r="U6" s="77"/>
      <c r="V6" s="77"/>
      <c r="W6" s="86">
        <v>2150</v>
      </c>
      <c r="X6" s="77">
        <f>_xlfn.NORM.DIST(W6,$Q$3,$T$3,FALSE)</f>
        <v>7.88452289063299e-5</v>
      </c>
    </row>
    <row r="7" spans="1:24">
      <c r="A7" s="86" t="s">
        <v>17</v>
      </c>
      <c r="B7" s="87">
        <v>682166.308354486</v>
      </c>
      <c r="C7" s="86">
        <v>680</v>
      </c>
      <c r="D7" s="77">
        <v>20</v>
      </c>
      <c r="E7" s="77"/>
      <c r="F7" s="77"/>
      <c r="G7" s="77"/>
      <c r="H7" s="77"/>
      <c r="I7" s="77"/>
      <c r="J7" s="77"/>
      <c r="K7" s="86">
        <v>680</v>
      </c>
      <c r="L7" s="77">
        <f>_xlfn.NORM.DIST(K7,$E$3,$H$3,FALSE)</f>
        <v>0.000472088036105563</v>
      </c>
      <c r="M7" s="86" t="s">
        <v>17</v>
      </c>
      <c r="N7" s="87">
        <v>682166.308354486</v>
      </c>
      <c r="O7" s="86">
        <v>680</v>
      </c>
      <c r="P7" s="77">
        <v>20</v>
      </c>
      <c r="Q7" s="77"/>
      <c r="R7" s="77"/>
      <c r="S7" s="77"/>
      <c r="T7" s="77"/>
      <c r="U7" s="77"/>
      <c r="V7" s="77"/>
      <c r="W7" s="86">
        <v>680</v>
      </c>
      <c r="X7" s="77">
        <f>_xlfn.NORM.DIST(W7,$Q$3,$T$3,FALSE)</f>
        <v>0.000423452037694436</v>
      </c>
    </row>
    <row r="8" spans="1:24">
      <c r="A8" s="96" t="s">
        <v>18</v>
      </c>
      <c r="B8" s="97">
        <v>1189189.19531756</v>
      </c>
      <c r="C8" s="96">
        <v>1190</v>
      </c>
      <c r="D8" s="96">
        <v>20</v>
      </c>
      <c r="E8" s="77"/>
      <c r="F8" s="77"/>
      <c r="G8" s="77"/>
      <c r="H8" s="77"/>
      <c r="I8" s="77"/>
      <c r="J8" s="77"/>
      <c r="K8" s="96">
        <v>1190</v>
      </c>
      <c r="L8" s="77">
        <f>_xlfn.NORM.DIST(K8,$E$3,$H$3,FALSE)</f>
        <v>0.000868712832758201</v>
      </c>
      <c r="M8" s="96" t="s">
        <v>18</v>
      </c>
      <c r="N8" s="97">
        <v>1169983.37863909</v>
      </c>
      <c r="O8" s="96">
        <v>1170</v>
      </c>
      <c r="P8" s="96">
        <v>20</v>
      </c>
      <c r="Q8" s="77"/>
      <c r="R8" s="77"/>
      <c r="S8" s="77"/>
      <c r="T8" s="77"/>
      <c r="U8" s="77"/>
      <c r="V8" s="77"/>
      <c r="W8" s="96">
        <v>1170</v>
      </c>
      <c r="X8" s="77">
        <f>_xlfn.NORM.DIST(W8,$Q$3,$T$3,FALSE)</f>
        <v>0.000945644104893595</v>
      </c>
    </row>
    <row r="9" spans="1:24">
      <c r="A9" s="86" t="s">
        <v>19</v>
      </c>
      <c r="B9" s="87">
        <v>1329349.44103201</v>
      </c>
      <c r="C9" s="86">
        <v>1330</v>
      </c>
      <c r="D9" s="77">
        <v>40</v>
      </c>
      <c r="E9" s="77"/>
      <c r="F9" s="77"/>
      <c r="G9" s="77"/>
      <c r="H9" s="77"/>
      <c r="I9" s="77"/>
      <c r="J9" s="77"/>
      <c r="K9" s="86">
        <v>1330</v>
      </c>
      <c r="L9" s="77">
        <f>_xlfn.NORM.DIST(K9,$E$3,$H$3,FALSE)</f>
        <v>0.000827713412540288</v>
      </c>
      <c r="M9" s="86" t="s">
        <v>19</v>
      </c>
      <c r="N9" s="87">
        <v>1329349.44103201</v>
      </c>
      <c r="O9" s="86">
        <v>1330</v>
      </c>
      <c r="P9" s="77">
        <v>40</v>
      </c>
      <c r="Q9" s="77"/>
      <c r="R9" s="77"/>
      <c r="S9" s="77"/>
      <c r="T9" s="77"/>
      <c r="U9" s="77"/>
      <c r="V9" s="77"/>
      <c r="W9" s="86">
        <v>1330</v>
      </c>
      <c r="X9" s="77">
        <f>_xlfn.NORM.DIST(W9,$Q$3,$T$3,FALSE)</f>
        <v>0.000914936544309686</v>
      </c>
    </row>
    <row r="10" spans="1:24">
      <c r="A10" s="86" t="s">
        <v>20</v>
      </c>
      <c r="B10" s="87">
        <v>1299239.51392256</v>
      </c>
      <c r="C10" s="86">
        <v>1300</v>
      </c>
      <c r="D10" s="77">
        <v>20</v>
      </c>
      <c r="E10" s="77"/>
      <c r="F10" s="77"/>
      <c r="G10" s="77"/>
      <c r="H10" s="77"/>
      <c r="I10" s="77"/>
      <c r="J10" s="77"/>
      <c r="K10" s="86">
        <v>1300</v>
      </c>
      <c r="L10" s="77">
        <f>_xlfn.NORM.DIST(K10,$E$3,$H$3,FALSE)</f>
        <v>0.000842902104781992</v>
      </c>
      <c r="M10" s="86" t="s">
        <v>20</v>
      </c>
      <c r="N10" s="87">
        <v>1299239.51392256</v>
      </c>
      <c r="O10" s="86">
        <v>1300</v>
      </c>
      <c r="P10" s="77">
        <v>20</v>
      </c>
      <c r="Q10" s="77"/>
      <c r="R10" s="77"/>
      <c r="S10" s="77"/>
      <c r="T10" s="77"/>
      <c r="U10" s="77"/>
      <c r="V10" s="77"/>
      <c r="W10" s="86">
        <v>1300</v>
      </c>
      <c r="X10" s="77">
        <f>_xlfn.NORM.DIST(W10,$Q$3,$T$3,FALSE)</f>
        <v>0.00093087051562134</v>
      </c>
    </row>
    <row r="11" spans="1:24">
      <c r="A11" s="86" t="s">
        <v>21</v>
      </c>
      <c r="B11" s="87">
        <v>818491.772542247</v>
      </c>
      <c r="C11" s="86">
        <v>820</v>
      </c>
      <c r="D11" s="77">
        <v>20</v>
      </c>
      <c r="E11" s="77"/>
      <c r="F11" s="77"/>
      <c r="G11" s="77"/>
      <c r="H11" s="77"/>
      <c r="I11" s="77"/>
      <c r="J11" s="77"/>
      <c r="K11" s="86">
        <v>820</v>
      </c>
      <c r="L11" s="77">
        <f>_xlfn.NORM.DIST(K11,$E$3,$H$3,FALSE)</f>
        <v>0.000631052265677567</v>
      </c>
      <c r="M11" s="86" t="s">
        <v>21</v>
      </c>
      <c r="N11" s="87">
        <v>818491.772542247</v>
      </c>
      <c r="O11" s="86">
        <v>820</v>
      </c>
      <c r="P11" s="77">
        <v>20</v>
      </c>
      <c r="Q11" s="77"/>
      <c r="R11" s="77"/>
      <c r="S11" s="77"/>
      <c r="T11" s="77"/>
      <c r="U11" s="77"/>
      <c r="V11" s="77"/>
      <c r="W11" s="86">
        <v>820</v>
      </c>
      <c r="X11" s="77">
        <f>_xlfn.NORM.DIST(W11,$Q$3,$T$3,FALSE)</f>
        <v>0.000612254524720005</v>
      </c>
    </row>
    <row r="12" spans="1:24">
      <c r="A12" s="86" t="s">
        <v>22</v>
      </c>
      <c r="B12" s="87">
        <v>1308757.08715405</v>
      </c>
      <c r="C12" s="86">
        <v>1310</v>
      </c>
      <c r="D12" s="77">
        <v>20</v>
      </c>
      <c r="E12" s="77"/>
      <c r="F12" s="77"/>
      <c r="G12" s="77"/>
      <c r="H12" s="77"/>
      <c r="I12" s="77"/>
      <c r="J12" s="77"/>
      <c r="K12" s="86">
        <v>1310</v>
      </c>
      <c r="L12" s="77">
        <f>_xlfn.NORM.DIST(K12,$E$3,$H$3,FALSE)</f>
        <v>0.000838205860208153</v>
      </c>
      <c r="M12" s="86" t="s">
        <v>22</v>
      </c>
      <c r="N12" s="87">
        <v>1308757.08715405</v>
      </c>
      <c r="O12" s="86">
        <v>1310</v>
      </c>
      <c r="P12" s="77">
        <v>20</v>
      </c>
      <c r="Q12" s="77"/>
      <c r="R12" s="77"/>
      <c r="S12" s="77"/>
      <c r="T12" s="77"/>
      <c r="U12" s="77"/>
      <c r="V12" s="77"/>
      <c r="W12" s="86">
        <v>1310</v>
      </c>
      <c r="X12" s="77">
        <f>_xlfn.NORM.DIST(W12,$Q$3,$T$3,FALSE)</f>
        <v>0.000926054435446282</v>
      </c>
    </row>
    <row r="13" spans="1:24">
      <c r="A13" s="93" t="s">
        <v>23</v>
      </c>
      <c r="B13" s="94">
        <v>42049.9755022048</v>
      </c>
      <c r="C13" s="93">
        <v>40</v>
      </c>
      <c r="D13" s="95">
        <v>10</v>
      </c>
      <c r="E13" s="77"/>
      <c r="F13" s="77"/>
      <c r="G13" s="77"/>
      <c r="H13" s="77"/>
      <c r="I13" s="77"/>
      <c r="J13" s="77"/>
      <c r="K13" s="93">
        <v>40</v>
      </c>
      <c r="L13" s="77">
        <f>_xlfn.NORM.DIST(K13,$E$3,$H$3,FALSE)</f>
        <v>3.83541389735227e-5</v>
      </c>
      <c r="M13" s="93" t="s">
        <v>23</v>
      </c>
      <c r="N13" s="94">
        <v>1163288.58402744</v>
      </c>
      <c r="O13" s="93">
        <v>1160</v>
      </c>
      <c r="P13" s="95">
        <v>10</v>
      </c>
      <c r="Q13" s="77"/>
      <c r="R13" s="77"/>
      <c r="S13" s="77"/>
      <c r="T13" s="77"/>
      <c r="U13" s="77"/>
      <c r="V13" s="77"/>
      <c r="W13" s="93">
        <v>1160</v>
      </c>
      <c r="X13" s="77">
        <f>_xlfn.NORM.DIST(W13,$Q$3,$T$3,FALSE)</f>
        <v>0.000943033301804013</v>
      </c>
    </row>
    <row r="14" spans="1:24">
      <c r="A14" s="86" t="s">
        <v>24</v>
      </c>
      <c r="B14" s="87">
        <v>884135.666344665</v>
      </c>
      <c r="C14" s="86">
        <v>880</v>
      </c>
      <c r="D14" s="77">
        <v>10</v>
      </c>
      <c r="E14" s="77"/>
      <c r="F14" s="77"/>
      <c r="G14" s="77"/>
      <c r="H14" s="77"/>
      <c r="I14" s="77"/>
      <c r="J14" s="77"/>
      <c r="K14" s="86">
        <v>880</v>
      </c>
      <c r="L14" s="77">
        <f>_xlfn.NORM.DIST(K14,$E$3,$H$3,FALSE)</f>
        <v>0.000694588024124112</v>
      </c>
      <c r="M14" s="86" t="s">
        <v>24</v>
      </c>
      <c r="N14" s="87">
        <v>884135.666344665</v>
      </c>
      <c r="O14" s="86">
        <v>880</v>
      </c>
      <c r="P14" s="77">
        <v>10</v>
      </c>
      <c r="Q14" s="77"/>
      <c r="R14" s="77"/>
      <c r="S14" s="77"/>
      <c r="T14" s="77"/>
      <c r="U14" s="77"/>
      <c r="V14" s="77"/>
      <c r="W14" s="86">
        <v>880</v>
      </c>
      <c r="X14" s="77">
        <f>_xlfn.NORM.DIST(W14,$Q$3,$T$3,FALSE)</f>
        <v>0.000693039039269616</v>
      </c>
    </row>
    <row r="15" spans="1:24">
      <c r="A15" s="86" t="s">
        <v>25</v>
      </c>
      <c r="B15" s="87">
        <v>1049871.2565402</v>
      </c>
      <c r="C15" s="86">
        <v>1050</v>
      </c>
      <c r="D15" s="77">
        <v>20</v>
      </c>
      <c r="E15" s="77"/>
      <c r="F15" s="77"/>
      <c r="G15" s="77"/>
      <c r="H15" s="77"/>
      <c r="I15" s="77"/>
      <c r="J15" s="77"/>
      <c r="K15" s="86">
        <v>1050</v>
      </c>
      <c r="L15" s="77">
        <f>_xlfn.NORM.DIST(K15,$E$3,$H$3,FALSE)</f>
        <v>0.000830823839350239</v>
      </c>
      <c r="M15" s="86" t="s">
        <v>25</v>
      </c>
      <c r="N15" s="87">
        <v>1049871.2565402</v>
      </c>
      <c r="O15" s="86">
        <v>1050</v>
      </c>
      <c r="P15" s="77">
        <v>20</v>
      </c>
      <c r="Q15" s="77"/>
      <c r="R15" s="77"/>
      <c r="S15" s="77"/>
      <c r="T15" s="77"/>
      <c r="U15" s="77"/>
      <c r="V15" s="77"/>
      <c r="W15" s="86">
        <v>1050</v>
      </c>
      <c r="X15" s="77">
        <f>_xlfn.NORM.DIST(W15,$Q$3,$T$3,FALSE)</f>
        <v>0.000881127783537246</v>
      </c>
    </row>
    <row r="16" spans="1:24">
      <c r="A16" s="86" t="s">
        <v>26</v>
      </c>
      <c r="B16" s="87">
        <v>977660.047112581</v>
      </c>
      <c r="C16" s="86">
        <v>980</v>
      </c>
      <c r="D16" s="77">
        <v>10</v>
      </c>
      <c r="E16" s="77"/>
      <c r="F16" s="77"/>
      <c r="G16" s="77"/>
      <c r="H16" s="77"/>
      <c r="I16" s="77"/>
      <c r="J16" s="77"/>
      <c r="K16" s="86">
        <v>980</v>
      </c>
      <c r="L16" s="77">
        <f>_xlfn.NORM.DIST(K16,$E$3,$H$3,FALSE)</f>
        <v>0.00078467349184382</v>
      </c>
      <c r="M16" s="86" t="s">
        <v>26</v>
      </c>
      <c r="N16" s="87">
        <v>977660.047112581</v>
      </c>
      <c r="O16" s="86">
        <v>980</v>
      </c>
      <c r="P16" s="77">
        <v>10</v>
      </c>
      <c r="Q16" s="77"/>
      <c r="R16" s="77"/>
      <c r="S16" s="77"/>
      <c r="T16" s="77"/>
      <c r="U16" s="77"/>
      <c r="V16" s="77"/>
      <c r="W16" s="86">
        <v>980</v>
      </c>
      <c r="X16" s="77">
        <f>_xlfn.NORM.DIST(W16,$Q$3,$T$3,FALSE)</f>
        <v>0.000814203942316535</v>
      </c>
    </row>
    <row r="17" spans="1:24">
      <c r="A17" s="86" t="s">
        <v>27</v>
      </c>
      <c r="B17" s="87">
        <v>1592378.22685194</v>
      </c>
      <c r="C17" s="86">
        <v>1590</v>
      </c>
      <c r="D17" s="77">
        <v>20</v>
      </c>
      <c r="E17" s="77"/>
      <c r="F17" s="77"/>
      <c r="G17" s="77"/>
      <c r="H17" s="77"/>
      <c r="I17" s="77"/>
      <c r="J17" s="77"/>
      <c r="K17" s="86">
        <v>1590</v>
      </c>
      <c r="L17" s="77">
        <f>_xlfn.NORM.DIST(K17,$E$3,$H$3,FALSE)</f>
        <v>0.000591289335864892</v>
      </c>
      <c r="M17" s="86" t="s">
        <v>27</v>
      </c>
      <c r="N17" s="87">
        <v>1592378.22685194</v>
      </c>
      <c r="O17" s="86">
        <v>1590</v>
      </c>
      <c r="P17" s="77">
        <v>20</v>
      </c>
      <c r="Q17" s="77"/>
      <c r="R17" s="77"/>
      <c r="S17" s="77"/>
      <c r="T17" s="77"/>
      <c r="U17" s="77"/>
      <c r="V17" s="77"/>
      <c r="W17" s="86">
        <v>1590</v>
      </c>
      <c r="X17" s="77">
        <f>_xlfn.NORM.DIST(W17,$Q$3,$T$3,FALSE)</f>
        <v>0.000635929936313874</v>
      </c>
    </row>
    <row r="18" spans="1:24">
      <c r="A18" s="86" t="s">
        <v>28</v>
      </c>
      <c r="B18" s="87">
        <v>1149274.96484704</v>
      </c>
      <c r="C18" s="86">
        <v>1150</v>
      </c>
      <c r="D18" s="77">
        <v>30</v>
      </c>
      <c r="E18" s="77"/>
      <c r="F18" s="77"/>
      <c r="G18" s="77"/>
      <c r="H18" s="77"/>
      <c r="I18" s="77"/>
      <c r="J18" s="77"/>
      <c r="K18" s="86">
        <v>1150</v>
      </c>
      <c r="L18" s="77">
        <f>_xlfn.NORM.DIST(K18,$E$3,$H$3,FALSE)</f>
        <v>0.000865887467815874</v>
      </c>
      <c r="M18" s="86" t="s">
        <v>28</v>
      </c>
      <c r="N18" s="87">
        <v>1149274.96484704</v>
      </c>
      <c r="O18" s="86">
        <v>1150</v>
      </c>
      <c r="P18" s="77">
        <v>30</v>
      </c>
      <c r="Q18" s="77"/>
      <c r="R18" s="77"/>
      <c r="S18" s="77"/>
      <c r="T18" s="77"/>
      <c r="U18" s="77"/>
      <c r="V18" s="77"/>
      <c r="W18" s="86">
        <v>1150</v>
      </c>
      <c r="X18" s="77">
        <f>_xlfn.NORM.DIST(W18,$Q$3,$T$3,FALSE)</f>
        <v>0.000939895703863933</v>
      </c>
    </row>
    <row r="19" spans="1:24">
      <c r="A19" s="86" t="s">
        <v>29</v>
      </c>
      <c r="B19" s="87">
        <v>1030726.65979971</v>
      </c>
      <c r="C19" s="86">
        <v>1030</v>
      </c>
      <c r="D19" s="77">
        <v>10</v>
      </c>
      <c r="E19" s="77"/>
      <c r="F19" s="77"/>
      <c r="G19" s="77"/>
      <c r="H19" s="77"/>
      <c r="I19" s="77"/>
      <c r="J19" s="77"/>
      <c r="K19" s="86">
        <v>1030</v>
      </c>
      <c r="L19" s="77">
        <f>_xlfn.NORM.DIST(K19,$E$3,$H$3,FALSE)</f>
        <v>0.000819308031131619</v>
      </c>
      <c r="M19" s="86" t="s">
        <v>29</v>
      </c>
      <c r="N19" s="87">
        <v>1030726.65979971</v>
      </c>
      <c r="O19" s="86">
        <v>1030</v>
      </c>
      <c r="P19" s="77">
        <v>10</v>
      </c>
      <c r="Q19" s="77"/>
      <c r="R19" s="77"/>
      <c r="S19" s="77"/>
      <c r="T19" s="77"/>
      <c r="U19" s="77"/>
      <c r="V19" s="77"/>
      <c r="W19" s="86">
        <v>1030</v>
      </c>
      <c r="X19" s="77">
        <f>_xlfn.NORM.DIST(W19,$Q$3,$T$3,FALSE)</f>
        <v>0.00086391426066597</v>
      </c>
    </row>
    <row r="20" spans="1:24">
      <c r="A20" s="86" t="s">
        <v>30</v>
      </c>
      <c r="B20" s="87">
        <v>1346348.37368701</v>
      </c>
      <c r="C20" s="86">
        <v>1350</v>
      </c>
      <c r="D20" s="77">
        <v>10</v>
      </c>
      <c r="E20" s="77"/>
      <c r="F20" s="77"/>
      <c r="G20" s="77"/>
      <c r="H20" s="77"/>
      <c r="I20" s="77"/>
      <c r="J20" s="77"/>
      <c r="K20" s="86">
        <v>1350</v>
      </c>
      <c r="L20" s="77">
        <f>_xlfn.NORM.DIST(K20,$E$3,$H$3,FALSE)</f>
        <v>0.000815803467741012</v>
      </c>
      <c r="M20" s="86" t="s">
        <v>30</v>
      </c>
      <c r="N20" s="87">
        <v>1346348.37368701</v>
      </c>
      <c r="O20" s="86">
        <v>1350</v>
      </c>
      <c r="P20" s="77">
        <v>10</v>
      </c>
      <c r="Q20" s="77"/>
      <c r="R20" s="77"/>
      <c r="S20" s="77"/>
      <c r="T20" s="77"/>
      <c r="U20" s="77"/>
      <c r="V20" s="77"/>
      <c r="W20" s="86">
        <v>1350</v>
      </c>
      <c r="X20" s="77">
        <f>_xlfn.NORM.DIST(W20,$Q$3,$T$3,FALSE)</f>
        <v>0.000901900719124239</v>
      </c>
    </row>
    <row r="21" spans="1:24">
      <c r="A21" s="86" t="s">
        <v>31</v>
      </c>
      <c r="B21" s="87">
        <v>1238740.5718422</v>
      </c>
      <c r="C21" s="86">
        <v>1240</v>
      </c>
      <c r="D21" s="77">
        <v>20</v>
      </c>
      <c r="E21" s="77"/>
      <c r="F21" s="77"/>
      <c r="G21" s="77"/>
      <c r="H21" s="77"/>
      <c r="I21" s="77"/>
      <c r="J21" s="77"/>
      <c r="K21" s="86">
        <v>1240</v>
      </c>
      <c r="L21" s="77">
        <f>_xlfn.NORM.DIST(K21,$E$3,$H$3,FALSE)</f>
        <v>0.000863000698134502</v>
      </c>
      <c r="M21" s="86" t="s">
        <v>31</v>
      </c>
      <c r="N21" s="87">
        <v>1238740.5718422</v>
      </c>
      <c r="O21" s="86">
        <v>1240</v>
      </c>
      <c r="P21" s="77">
        <v>20</v>
      </c>
      <c r="Q21" s="77"/>
      <c r="R21" s="77"/>
      <c r="S21" s="77"/>
      <c r="T21" s="77"/>
      <c r="U21" s="77"/>
      <c r="V21" s="77"/>
      <c r="W21" s="86">
        <v>1240</v>
      </c>
      <c r="X21" s="77">
        <f>_xlfn.NORM.DIST(W21,$Q$3,$T$3,FALSE)</f>
        <v>0.0009489113752306</v>
      </c>
    </row>
    <row r="22" spans="1:24">
      <c r="A22" s="86" t="s">
        <v>32</v>
      </c>
      <c r="B22" s="87">
        <v>1802542.0979021</v>
      </c>
      <c r="C22" s="86">
        <v>1800</v>
      </c>
      <c r="D22" s="77">
        <v>10</v>
      </c>
      <c r="E22" s="77"/>
      <c r="F22" s="77"/>
      <c r="G22" s="77"/>
      <c r="H22" s="77"/>
      <c r="I22" s="77"/>
      <c r="J22" s="77"/>
      <c r="K22" s="86">
        <v>1800</v>
      </c>
      <c r="L22" s="77">
        <f>_xlfn.NORM.DIST(K22,$E$3,$H$3,FALSE)</f>
        <v>0.000356601192014287</v>
      </c>
      <c r="M22" s="86" t="s">
        <v>32</v>
      </c>
      <c r="N22" s="87">
        <v>1802542.0979021</v>
      </c>
      <c r="O22" s="86">
        <v>1800</v>
      </c>
      <c r="P22" s="77">
        <v>10</v>
      </c>
      <c r="Q22" s="77"/>
      <c r="R22" s="77"/>
      <c r="S22" s="77"/>
      <c r="T22" s="77"/>
      <c r="U22" s="77"/>
      <c r="V22" s="77"/>
      <c r="W22" s="86">
        <v>1800</v>
      </c>
      <c r="X22" s="77">
        <f>_xlfn.NORM.DIST(W22,$Q$3,$T$3,FALSE)</f>
        <v>0.000358157953897953</v>
      </c>
    </row>
    <row r="23" spans="1:24">
      <c r="A23" s="86" t="s">
        <v>33</v>
      </c>
      <c r="B23" s="86">
        <v>2194361.55131295</v>
      </c>
      <c r="C23" s="86">
        <v>2190</v>
      </c>
      <c r="D23" s="86">
        <v>30</v>
      </c>
      <c r="E23" s="77"/>
      <c r="F23" s="77"/>
      <c r="G23" s="77"/>
      <c r="H23" s="77"/>
      <c r="I23" s="77"/>
      <c r="J23" s="77"/>
      <c r="K23" s="86">
        <v>2190</v>
      </c>
      <c r="L23" s="77">
        <f>_xlfn.NORM.DIST(K23,$E$3,$H$3,FALSE)</f>
        <v>8.0052813492881e-5</v>
      </c>
      <c r="M23" s="86" t="s">
        <v>33</v>
      </c>
      <c r="N23" s="86">
        <v>2194361.55131295</v>
      </c>
      <c r="O23" s="86">
        <v>2190</v>
      </c>
      <c r="P23" s="86">
        <v>30</v>
      </c>
      <c r="Q23" s="77"/>
      <c r="R23" s="77"/>
      <c r="S23" s="77"/>
      <c r="T23" s="77"/>
      <c r="U23" s="77"/>
      <c r="V23" s="77"/>
      <c r="W23" s="86">
        <v>2190</v>
      </c>
      <c r="X23" s="77">
        <f>_xlfn.NORM.DIST(W23,$Q$3,$T$3,FALSE)</f>
        <v>6.34475519291324e-5</v>
      </c>
    </row>
    <row r="24" spans="1:24">
      <c r="A24" s="86" t="s">
        <v>34</v>
      </c>
      <c r="B24" s="86">
        <v>1097940.66159592</v>
      </c>
      <c r="C24" s="86">
        <v>1100</v>
      </c>
      <c r="D24" s="86">
        <v>20</v>
      </c>
      <c r="E24" s="77"/>
      <c r="F24" s="77"/>
      <c r="G24" s="77"/>
      <c r="H24" s="77"/>
      <c r="I24" s="77"/>
      <c r="J24" s="77"/>
      <c r="K24" s="86">
        <v>1100</v>
      </c>
      <c r="L24" s="77">
        <f>_xlfn.NORM.DIST(K24,$E$3,$H$3,FALSE)</f>
        <v>0.000853216816541778</v>
      </c>
      <c r="M24" s="86" t="s">
        <v>34</v>
      </c>
      <c r="N24" s="86">
        <v>1097940.66159592</v>
      </c>
      <c r="O24" s="86">
        <v>1100</v>
      </c>
      <c r="P24" s="86">
        <v>20</v>
      </c>
      <c r="Q24" s="77"/>
      <c r="R24" s="77"/>
      <c r="S24" s="77"/>
      <c r="T24" s="77"/>
      <c r="U24" s="77"/>
      <c r="V24" s="77"/>
      <c r="W24" s="86">
        <v>1100</v>
      </c>
      <c r="X24" s="77">
        <f>_xlfn.NORM.DIST(W24,$Q$3,$T$3,FALSE)</f>
        <v>0.00091652162457468</v>
      </c>
    </row>
    <row r="25" spans="1:24">
      <c r="A25" s="86" t="s">
        <v>35</v>
      </c>
      <c r="B25" s="86">
        <v>1023488.09943237</v>
      </c>
      <c r="C25" s="86">
        <v>1020</v>
      </c>
      <c r="D25" s="86">
        <v>20</v>
      </c>
      <c r="E25" s="77"/>
      <c r="F25" s="77"/>
      <c r="G25" s="77"/>
      <c r="H25" s="77"/>
      <c r="I25" s="77"/>
      <c r="J25" s="77"/>
      <c r="K25" s="86">
        <v>1020</v>
      </c>
      <c r="L25" s="77">
        <f>_xlfn.NORM.DIST(K25,$E$3,$H$3,FALSE)</f>
        <v>0.000813031624400971</v>
      </c>
      <c r="M25" s="86" t="s">
        <v>35</v>
      </c>
      <c r="N25" s="86">
        <v>1023488.09943237</v>
      </c>
      <c r="O25" s="86">
        <v>1020</v>
      </c>
      <c r="P25" s="86">
        <v>20</v>
      </c>
      <c r="Q25" s="77"/>
      <c r="R25" s="77"/>
      <c r="S25" s="77"/>
      <c r="T25" s="77"/>
      <c r="U25" s="77"/>
      <c r="V25" s="77"/>
      <c r="W25" s="86">
        <v>1020</v>
      </c>
      <c r="X25" s="77">
        <f>_xlfn.NORM.DIST(W25,$Q$3,$T$3,FALSE)</f>
        <v>0.000854705511246902</v>
      </c>
    </row>
    <row r="26" spans="1:24">
      <c r="A26" s="86" t="s">
        <v>36</v>
      </c>
      <c r="B26" s="86">
        <v>1387986.57613752</v>
      </c>
      <c r="C26" s="86">
        <v>1390</v>
      </c>
      <c r="D26" s="86">
        <v>10</v>
      </c>
      <c r="E26" s="77"/>
      <c r="F26" s="77"/>
      <c r="G26" s="77"/>
      <c r="H26" s="77"/>
      <c r="I26" s="77"/>
      <c r="J26" s="77"/>
      <c r="K26" s="86">
        <v>1390</v>
      </c>
      <c r="L26" s="77">
        <f>_xlfn.NORM.DIST(K26,$E$3,$H$3,FALSE)</f>
        <v>0.000787998551328855</v>
      </c>
      <c r="M26" s="86" t="s">
        <v>36</v>
      </c>
      <c r="N26" s="86">
        <v>1387986.57613752</v>
      </c>
      <c r="O26" s="86">
        <v>1390</v>
      </c>
      <c r="P26" s="86">
        <v>10</v>
      </c>
      <c r="Q26" s="77"/>
      <c r="R26" s="77"/>
      <c r="S26" s="77"/>
      <c r="T26" s="77"/>
      <c r="U26" s="77"/>
      <c r="V26" s="77"/>
      <c r="W26" s="86">
        <v>1390</v>
      </c>
      <c r="X26" s="77">
        <f>_xlfn.NORM.DIST(W26,$Q$3,$T$3,FALSE)</f>
        <v>0.000870430603249501</v>
      </c>
    </row>
    <row r="27" spans="1:24">
      <c r="A27" s="86" t="s">
        <v>37</v>
      </c>
      <c r="B27" s="86">
        <v>896744.280361472</v>
      </c>
      <c r="C27" s="86">
        <v>900</v>
      </c>
      <c r="D27" s="86">
        <v>30</v>
      </c>
      <c r="E27" s="77"/>
      <c r="F27" s="77"/>
      <c r="G27" s="77"/>
      <c r="H27" s="77"/>
      <c r="I27" s="77"/>
      <c r="J27" s="77"/>
      <c r="K27" s="86">
        <v>900</v>
      </c>
      <c r="L27" s="77">
        <f>_xlfn.NORM.DIST(K27,$E$3,$H$3,FALSE)</f>
        <v>0.000714442234678061</v>
      </c>
      <c r="M27" s="86" t="s">
        <v>37</v>
      </c>
      <c r="N27" s="86">
        <v>896744.280361472</v>
      </c>
      <c r="O27" s="86">
        <v>900</v>
      </c>
      <c r="P27" s="86">
        <v>30</v>
      </c>
      <c r="Q27" s="77"/>
      <c r="R27" s="77"/>
      <c r="S27" s="77"/>
      <c r="T27" s="77"/>
      <c r="U27" s="77"/>
      <c r="V27" s="77"/>
      <c r="W27" s="86">
        <v>900</v>
      </c>
      <c r="X27" s="77">
        <f>_xlfn.NORM.DIST(W27,$Q$3,$T$3,FALSE)</f>
        <v>0.000718995543992511</v>
      </c>
    </row>
    <row r="28" spans="1:24">
      <c r="A28" s="86" t="s">
        <v>38</v>
      </c>
      <c r="B28" s="86">
        <v>1024176.0989011</v>
      </c>
      <c r="C28" s="86">
        <v>1020</v>
      </c>
      <c r="D28" s="86">
        <v>10</v>
      </c>
      <c r="E28" s="77"/>
      <c r="F28" s="77"/>
      <c r="G28" s="77"/>
      <c r="H28" s="77"/>
      <c r="I28" s="77"/>
      <c r="J28" s="77"/>
      <c r="K28" s="86">
        <v>1020</v>
      </c>
      <c r="L28" s="77">
        <f>_xlfn.NORM.DIST(K28,$E$3,$H$3,FALSE)</f>
        <v>0.000813031624400971</v>
      </c>
      <c r="M28" s="86" t="s">
        <v>38</v>
      </c>
      <c r="N28" s="86">
        <v>1024176.0989011</v>
      </c>
      <c r="O28" s="86">
        <v>1020</v>
      </c>
      <c r="P28" s="86">
        <v>10</v>
      </c>
      <c r="Q28" s="77"/>
      <c r="R28" s="77"/>
      <c r="S28" s="77"/>
      <c r="T28" s="77"/>
      <c r="U28" s="77"/>
      <c r="V28" s="77"/>
      <c r="W28" s="86">
        <v>1020</v>
      </c>
      <c r="X28" s="77">
        <f>_xlfn.NORM.DIST(W28,$Q$3,$T$3,FALSE)</f>
        <v>0.000854705511246902</v>
      </c>
    </row>
    <row r="29" spans="1:24">
      <c r="A29" s="86" t="s">
        <v>39</v>
      </c>
      <c r="B29" s="86">
        <v>1202870.42627809</v>
      </c>
      <c r="C29" s="86">
        <v>1203</v>
      </c>
      <c r="D29" s="86">
        <v>10</v>
      </c>
      <c r="E29" s="77"/>
      <c r="F29" s="77"/>
      <c r="G29" s="77"/>
      <c r="H29" s="77"/>
      <c r="I29" s="77"/>
      <c r="J29" s="77"/>
      <c r="K29" s="86">
        <v>1203</v>
      </c>
      <c r="L29" s="77">
        <f>_xlfn.NORM.DIST(K29,$E$3,$H$3,FALSE)</f>
        <v>0.000868213612282226</v>
      </c>
      <c r="M29" s="86" t="s">
        <v>39</v>
      </c>
      <c r="N29" s="86">
        <v>1202870.42627809</v>
      </c>
      <c r="O29" s="86">
        <v>1203</v>
      </c>
      <c r="P29" s="86">
        <v>10</v>
      </c>
      <c r="Q29" s="77"/>
      <c r="R29" s="77"/>
      <c r="S29" s="77"/>
      <c r="T29" s="77"/>
      <c r="U29" s="77"/>
      <c r="V29" s="77"/>
      <c r="W29" s="86">
        <v>1203</v>
      </c>
      <c r="X29" s="77">
        <f>_xlfn.NORM.DIST(W29,$Q$3,$T$3,FALSE)</f>
        <v>0.000950473118021062</v>
      </c>
    </row>
    <row r="30" spans="1:24">
      <c r="A30" s="86" t="s">
        <v>40</v>
      </c>
      <c r="B30" s="86">
        <v>228219.247471866</v>
      </c>
      <c r="C30" s="86">
        <v>228</v>
      </c>
      <c r="D30" s="86">
        <v>10</v>
      </c>
      <c r="E30" s="77"/>
      <c r="F30" s="77"/>
      <c r="G30" s="77"/>
      <c r="H30" s="77"/>
      <c r="I30" s="77"/>
      <c r="J30" s="77"/>
      <c r="K30" s="86">
        <v>228</v>
      </c>
      <c r="L30" s="77">
        <f>_xlfn.NORM.DIST(K30,$E$3,$H$3,FALSE)</f>
        <v>9.80753573981879e-5</v>
      </c>
      <c r="M30" s="86" t="s">
        <v>40</v>
      </c>
      <c r="N30" s="86">
        <v>228219.247471866</v>
      </c>
      <c r="O30" s="86">
        <v>228</v>
      </c>
      <c r="P30" s="86">
        <v>10</v>
      </c>
      <c r="Q30" s="77"/>
      <c r="R30" s="77"/>
      <c r="S30" s="77"/>
      <c r="T30" s="77"/>
      <c r="U30" s="77"/>
      <c r="V30" s="77"/>
      <c r="W30" s="86">
        <v>228</v>
      </c>
      <c r="X30" s="77">
        <f>_xlfn.NORM.DIST(W30,$Q$3,$T$3,FALSE)</f>
        <v>6.02266885417484e-5</v>
      </c>
    </row>
    <row r="31" spans="1:24">
      <c r="A31" s="86" t="s">
        <v>41</v>
      </c>
      <c r="B31" s="86">
        <v>1955203.79214153</v>
      </c>
      <c r="C31" s="86">
        <v>1955</v>
      </c>
      <c r="D31" s="86">
        <v>10</v>
      </c>
      <c r="E31" s="77"/>
      <c r="F31" s="77"/>
      <c r="G31" s="77"/>
      <c r="H31" s="77"/>
      <c r="I31" s="77"/>
      <c r="J31" s="77"/>
      <c r="K31" s="86">
        <v>1955</v>
      </c>
      <c r="L31" s="77">
        <f>_xlfn.NORM.DIST(K31,$E$3,$H$3,FALSE)</f>
        <v>0.000214699031031056</v>
      </c>
      <c r="M31" s="86" t="s">
        <v>41</v>
      </c>
      <c r="N31" s="86">
        <v>1955203.79214153</v>
      </c>
      <c r="O31" s="86">
        <v>1955</v>
      </c>
      <c r="P31" s="86">
        <v>10</v>
      </c>
      <c r="Q31" s="77"/>
      <c r="R31" s="77"/>
      <c r="S31" s="77"/>
      <c r="T31" s="77"/>
      <c r="U31" s="77"/>
      <c r="V31" s="77"/>
      <c r="W31" s="86">
        <v>1955</v>
      </c>
      <c r="X31" s="77">
        <f>_xlfn.NORM.DIST(W31,$Q$3,$T$3,FALSE)</f>
        <v>0.000199647421930476</v>
      </c>
    </row>
    <row r="32" spans="1:24">
      <c r="A32" s="86" t="s">
        <v>42</v>
      </c>
      <c r="B32" s="86">
        <v>1401647.51282051</v>
      </c>
      <c r="C32" s="86">
        <v>1400</v>
      </c>
      <c r="D32" s="86">
        <v>30</v>
      </c>
      <c r="E32" s="77"/>
      <c r="F32" s="77"/>
      <c r="G32" s="77"/>
      <c r="H32" s="77"/>
      <c r="I32" s="77"/>
      <c r="J32" s="77"/>
      <c r="K32" s="86">
        <v>1400</v>
      </c>
      <c r="L32" s="77">
        <f>_xlfn.NORM.DIST(K32,$E$3,$H$3,FALSE)</f>
        <v>0.0007802711439806</v>
      </c>
      <c r="M32" s="86" t="s">
        <v>42</v>
      </c>
      <c r="N32" s="86">
        <v>1401647.51282051</v>
      </c>
      <c r="O32" s="86">
        <v>1400</v>
      </c>
      <c r="P32" s="86">
        <v>30</v>
      </c>
      <c r="Q32" s="77"/>
      <c r="R32" s="77"/>
      <c r="S32" s="77"/>
      <c r="T32" s="77"/>
      <c r="U32" s="77"/>
      <c r="V32" s="77"/>
      <c r="W32" s="86">
        <v>1400</v>
      </c>
      <c r="X32" s="77">
        <f>_xlfn.NORM.DIST(W32,$Q$3,$T$3,FALSE)</f>
        <v>0.00086151197655539</v>
      </c>
    </row>
    <row r="33" spans="1:24">
      <c r="A33" s="86" t="s">
        <v>43</v>
      </c>
      <c r="B33" s="86">
        <v>1241963.69716417</v>
      </c>
      <c r="C33" s="86">
        <v>1240</v>
      </c>
      <c r="D33" s="86">
        <v>20</v>
      </c>
      <c r="E33" s="77"/>
      <c r="F33" s="77"/>
      <c r="G33" s="77"/>
      <c r="H33" s="77"/>
      <c r="I33" s="77"/>
      <c r="J33" s="77"/>
      <c r="K33" s="86">
        <v>1240</v>
      </c>
      <c r="L33" s="77">
        <f>_xlfn.NORM.DIST(K33,$E$3,$H$3,FALSE)</f>
        <v>0.000863000698134502</v>
      </c>
      <c r="M33" s="86" t="s">
        <v>43</v>
      </c>
      <c r="N33" s="86">
        <v>1241963.69716417</v>
      </c>
      <c r="O33" s="86">
        <v>1240</v>
      </c>
      <c r="P33" s="86">
        <v>20</v>
      </c>
      <c r="Q33" s="77"/>
      <c r="R33" s="77"/>
      <c r="S33" s="77"/>
      <c r="T33" s="77"/>
      <c r="U33" s="77"/>
      <c r="V33" s="77"/>
      <c r="W33" s="86">
        <v>1240</v>
      </c>
      <c r="X33" s="77">
        <f>_xlfn.NORM.DIST(W33,$Q$3,$T$3,FALSE)</f>
        <v>0.0009489113752306</v>
      </c>
    </row>
    <row r="34" spans="1:24">
      <c r="A34" s="86" t="s">
        <v>44</v>
      </c>
      <c r="B34" s="86">
        <v>1183219.89224422</v>
      </c>
      <c r="C34" s="86">
        <v>1180</v>
      </c>
      <c r="D34" s="86">
        <v>20</v>
      </c>
      <c r="E34" s="77"/>
      <c r="F34" s="77"/>
      <c r="G34" s="77"/>
      <c r="H34" s="77"/>
      <c r="I34" s="77"/>
      <c r="J34" s="77"/>
      <c r="K34" s="86">
        <v>1180</v>
      </c>
      <c r="L34" s="77">
        <f>_xlfn.NORM.DIST(K34,$E$3,$H$3,FALSE)</f>
        <v>0.00086862324227471</v>
      </c>
      <c r="M34" s="86" t="s">
        <v>44</v>
      </c>
      <c r="N34" s="86">
        <v>1183219.89224422</v>
      </c>
      <c r="O34" s="86">
        <v>1180</v>
      </c>
      <c r="P34" s="86">
        <v>20</v>
      </c>
      <c r="Q34" s="77"/>
      <c r="R34" s="77"/>
      <c r="S34" s="77"/>
      <c r="T34" s="77"/>
      <c r="U34" s="77"/>
      <c r="V34" s="77"/>
      <c r="W34" s="86">
        <v>1180</v>
      </c>
      <c r="X34" s="77">
        <f>_xlfn.NORM.DIST(W34,$Q$3,$T$3,FALSE)</f>
        <v>0.000947723685610571</v>
      </c>
    </row>
    <row r="35" spans="1:24">
      <c r="A35" s="86" t="s">
        <v>45</v>
      </c>
      <c r="B35" s="86">
        <v>784125.280085435</v>
      </c>
      <c r="C35" s="86">
        <v>780</v>
      </c>
      <c r="D35" s="86">
        <v>20</v>
      </c>
      <c r="E35" s="77"/>
      <c r="F35" s="77"/>
      <c r="G35" s="77"/>
      <c r="H35" s="77"/>
      <c r="I35" s="77"/>
      <c r="J35" s="77"/>
      <c r="K35" s="86">
        <v>780</v>
      </c>
      <c r="L35" s="77">
        <f>_xlfn.NORM.DIST(K35,$E$3,$H$3,FALSE)</f>
        <v>0.000586370296197926</v>
      </c>
      <c r="M35" s="86" t="s">
        <v>45</v>
      </c>
      <c r="N35" s="86">
        <v>784125.280085435</v>
      </c>
      <c r="O35" s="86">
        <v>780</v>
      </c>
      <c r="P35" s="86">
        <v>20</v>
      </c>
      <c r="Q35" s="77"/>
      <c r="R35" s="77"/>
      <c r="S35" s="77"/>
      <c r="T35" s="77"/>
      <c r="U35" s="77"/>
      <c r="V35" s="77"/>
      <c r="W35" s="86">
        <v>780</v>
      </c>
      <c r="X35" s="77">
        <f>_xlfn.NORM.DIST(W35,$Q$3,$T$3,FALSE)</f>
        <v>0.00055733293512258</v>
      </c>
    </row>
    <row r="36" spans="1:24">
      <c r="A36" s="86" t="s">
        <v>46</v>
      </c>
      <c r="B36" s="86">
        <v>1134266.25404362</v>
      </c>
      <c r="C36" s="86">
        <v>1130</v>
      </c>
      <c r="D36" s="86">
        <v>30</v>
      </c>
      <c r="E36" s="77"/>
      <c r="F36" s="77"/>
      <c r="G36" s="77"/>
      <c r="H36" s="77"/>
      <c r="I36" s="77"/>
      <c r="J36" s="77"/>
      <c r="K36" s="86">
        <v>1130</v>
      </c>
      <c r="L36" s="77">
        <f>_xlfn.NORM.DIST(K36,$E$3,$H$3,FALSE)</f>
        <v>0.000862022187516124</v>
      </c>
      <c r="M36" s="86" t="s">
        <v>46</v>
      </c>
      <c r="N36" s="86">
        <v>1134266.25404362</v>
      </c>
      <c r="O36" s="86">
        <v>1130</v>
      </c>
      <c r="P36" s="86">
        <v>30</v>
      </c>
      <c r="Q36" s="77"/>
      <c r="R36" s="77"/>
      <c r="S36" s="77"/>
      <c r="T36" s="77"/>
      <c r="U36" s="77"/>
      <c r="V36" s="77"/>
      <c r="W36" s="86">
        <v>1130</v>
      </c>
      <c r="X36" s="77">
        <f>_xlfn.NORM.DIST(W36,$Q$3,$T$3,FALSE)</f>
        <v>0.000932062231062348</v>
      </c>
    </row>
    <row r="37" spans="1:24">
      <c r="A37" s="93" t="s">
        <v>47</v>
      </c>
      <c r="B37" s="93">
        <v>1348618.38745673</v>
      </c>
      <c r="C37" s="93">
        <v>1350</v>
      </c>
      <c r="D37" s="93">
        <v>70</v>
      </c>
      <c r="E37" s="77"/>
      <c r="F37" s="77"/>
      <c r="G37" s="77"/>
      <c r="H37" s="77"/>
      <c r="I37" s="77"/>
      <c r="J37" s="77"/>
      <c r="K37" s="93">
        <v>1350</v>
      </c>
      <c r="L37" s="77">
        <f>_xlfn.NORM.DIST(K37,$E$3,$H$3,FALSE)</f>
        <v>0.000815803467741012</v>
      </c>
      <c r="M37" s="93" t="s">
        <v>47</v>
      </c>
      <c r="N37" s="93">
        <v>1297565.18958598</v>
      </c>
      <c r="O37" s="93">
        <v>1300</v>
      </c>
      <c r="P37" s="93">
        <v>70</v>
      </c>
      <c r="Q37" s="77"/>
      <c r="R37" s="77"/>
      <c r="S37" s="77"/>
      <c r="T37" s="77"/>
      <c r="U37" s="77"/>
      <c r="V37" s="77"/>
      <c r="W37" s="93">
        <v>1300</v>
      </c>
      <c r="X37" s="77">
        <f>_xlfn.NORM.DIST(W37,$Q$3,$T$3,FALSE)</f>
        <v>0.00093087051562134</v>
      </c>
    </row>
    <row r="38" spans="1:24">
      <c r="A38" s="86" t="s">
        <v>48</v>
      </c>
      <c r="B38" s="86">
        <v>1166169.3392282</v>
      </c>
      <c r="C38" s="86">
        <v>1170</v>
      </c>
      <c r="D38" s="86">
        <v>10</v>
      </c>
      <c r="E38" s="77"/>
      <c r="F38" s="77"/>
      <c r="G38" s="77"/>
      <c r="H38" s="77"/>
      <c r="I38" s="77"/>
      <c r="J38" s="77"/>
      <c r="K38" s="86">
        <v>1170</v>
      </c>
      <c r="L38" s="77">
        <f>_xlfn.NORM.DIST(K38,$E$3,$H$3,FALSE)</f>
        <v>0.000868121912111379</v>
      </c>
      <c r="M38" s="86" t="s">
        <v>48</v>
      </c>
      <c r="N38" s="86">
        <v>1166169.3392282</v>
      </c>
      <c r="O38" s="86">
        <v>1170</v>
      </c>
      <c r="P38" s="86">
        <v>10</v>
      </c>
      <c r="Q38" s="77"/>
      <c r="R38" s="77"/>
      <c r="S38" s="77"/>
      <c r="T38" s="77"/>
      <c r="U38" s="77"/>
      <c r="V38" s="77"/>
      <c r="W38" s="86">
        <v>1170</v>
      </c>
      <c r="X38" s="77">
        <f>_xlfn.NORM.DIST(W38,$Q$3,$T$3,FALSE)</f>
        <v>0.000945644104893595</v>
      </c>
    </row>
    <row r="39" spans="1:24">
      <c r="A39" s="86" t="s">
        <v>49</v>
      </c>
      <c r="B39" s="86">
        <v>926339.187275867</v>
      </c>
      <c r="C39" s="86">
        <v>930</v>
      </c>
      <c r="D39" s="86">
        <v>20</v>
      </c>
      <c r="E39" s="77"/>
      <c r="F39" s="77"/>
      <c r="G39" s="77"/>
      <c r="H39" s="77"/>
      <c r="I39" s="77"/>
      <c r="J39" s="77"/>
      <c r="K39" s="86">
        <v>930</v>
      </c>
      <c r="L39" s="77">
        <f>_xlfn.NORM.DIST(K39,$E$3,$H$3,FALSE)</f>
        <v>0.000742646846147366</v>
      </c>
      <c r="M39" s="86" t="s">
        <v>49</v>
      </c>
      <c r="N39" s="86">
        <v>926339.187275867</v>
      </c>
      <c r="O39" s="86">
        <v>930</v>
      </c>
      <c r="P39" s="86">
        <v>20</v>
      </c>
      <c r="Q39" s="77"/>
      <c r="R39" s="77"/>
      <c r="S39" s="77"/>
      <c r="T39" s="77"/>
      <c r="U39" s="77"/>
      <c r="V39" s="77"/>
      <c r="W39" s="86">
        <v>930</v>
      </c>
      <c r="X39" s="77">
        <f>_xlfn.NORM.DIST(W39,$Q$3,$T$3,FALSE)</f>
        <v>0.000756534758726948</v>
      </c>
    </row>
    <row r="40" spans="1:24">
      <c r="A40" s="86" t="s">
        <v>50</v>
      </c>
      <c r="B40" s="86">
        <v>929712.186406246</v>
      </c>
      <c r="C40" s="86">
        <v>930</v>
      </c>
      <c r="D40" s="86">
        <v>30</v>
      </c>
      <c r="E40" s="77"/>
      <c r="F40" s="77"/>
      <c r="G40" s="77"/>
      <c r="H40" s="77"/>
      <c r="I40" s="77"/>
      <c r="J40" s="77"/>
      <c r="K40" s="86">
        <v>930</v>
      </c>
      <c r="L40" s="77">
        <f>_xlfn.NORM.DIST(K40,$E$3,$H$3,FALSE)</f>
        <v>0.000742646846147366</v>
      </c>
      <c r="M40" s="86" t="s">
        <v>50</v>
      </c>
      <c r="N40" s="86">
        <v>929712.186406246</v>
      </c>
      <c r="O40" s="86">
        <v>930</v>
      </c>
      <c r="P40" s="86">
        <v>30</v>
      </c>
      <c r="Q40" s="77"/>
      <c r="R40" s="77"/>
      <c r="S40" s="77"/>
      <c r="T40" s="77"/>
      <c r="U40" s="77"/>
      <c r="V40" s="77"/>
      <c r="W40" s="86">
        <v>930</v>
      </c>
      <c r="X40" s="77">
        <f>_xlfn.NORM.DIST(W40,$Q$3,$T$3,FALSE)</f>
        <v>0.000756534758726948</v>
      </c>
    </row>
    <row r="41" spans="1:24">
      <c r="A41" s="86" t="s">
        <v>51</v>
      </c>
      <c r="B41" s="86">
        <v>2431621.06544741</v>
      </c>
      <c r="C41" s="86">
        <v>2430</v>
      </c>
      <c r="D41" s="86">
        <v>30</v>
      </c>
      <c r="E41" s="77"/>
      <c r="F41" s="77"/>
      <c r="G41" s="77"/>
      <c r="H41" s="77"/>
      <c r="I41" s="77"/>
      <c r="J41" s="77"/>
      <c r="K41" s="86">
        <v>2430</v>
      </c>
      <c r="L41" s="77">
        <f>_xlfn.NORM.DIST(K41,$E$3,$H$3,FALSE)</f>
        <v>2.23060845239869e-5</v>
      </c>
      <c r="M41" s="86" t="s">
        <v>51</v>
      </c>
      <c r="N41" s="86">
        <v>2431621.06544741</v>
      </c>
      <c r="O41" s="86">
        <v>2430</v>
      </c>
      <c r="P41" s="86">
        <v>30</v>
      </c>
      <c r="Q41" s="77"/>
      <c r="R41" s="77"/>
      <c r="S41" s="77"/>
      <c r="T41" s="77"/>
      <c r="U41" s="77"/>
      <c r="V41" s="77"/>
      <c r="W41" s="86">
        <v>2430</v>
      </c>
      <c r="X41" s="77">
        <f>_xlfn.NORM.DIST(W41,$Q$3,$T$3,FALSE)</f>
        <v>1.42353717586717e-5</v>
      </c>
    </row>
    <row r="42" spans="1:24">
      <c r="A42" s="86" t="s">
        <v>52</v>
      </c>
      <c r="B42" s="86">
        <v>855417.481917911</v>
      </c>
      <c r="C42" s="86">
        <v>855</v>
      </c>
      <c r="D42" s="86">
        <v>10</v>
      </c>
      <c r="E42" s="77"/>
      <c r="F42" s="77"/>
      <c r="G42" s="77"/>
      <c r="H42" s="77"/>
      <c r="I42" s="77"/>
      <c r="J42" s="77"/>
      <c r="K42" s="86">
        <v>855</v>
      </c>
      <c r="L42" s="77">
        <f>_xlfn.NORM.DIST(K42,$E$3,$H$3,FALSE)</f>
        <v>0.000668758188102946</v>
      </c>
      <c r="M42" s="86" t="s">
        <v>52</v>
      </c>
      <c r="N42" s="86">
        <v>855417.481917911</v>
      </c>
      <c r="O42" s="86">
        <v>855</v>
      </c>
      <c r="P42" s="86">
        <v>10</v>
      </c>
      <c r="Q42" s="77"/>
      <c r="R42" s="77"/>
      <c r="S42" s="77"/>
      <c r="T42" s="77"/>
      <c r="U42" s="77"/>
      <c r="V42" s="77"/>
      <c r="W42" s="86">
        <v>855</v>
      </c>
      <c r="X42" s="77">
        <f>_xlfn.NORM.DIST(W42,$Q$3,$T$3,FALSE)</f>
        <v>0.000659795772690134</v>
      </c>
    </row>
  </sheetData>
  <mergeCells count="2">
    <mergeCell ref="A1:L1"/>
    <mergeCell ref="M1:X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3"/>
  <sheetViews>
    <sheetView workbookViewId="0">
      <selection activeCell="G80" sqref="G80"/>
    </sheetView>
  </sheetViews>
  <sheetFormatPr defaultColWidth="8.88888888888889" defaultRowHeight="13.8"/>
  <cols>
    <col min="1" max="1" width="8.88888888888889" style="71"/>
    <col min="2" max="2" width="14.5555555555556" style="71" customWidth="1"/>
    <col min="3" max="3" width="26.4444444444444" style="71" customWidth="1"/>
    <col min="4" max="5" width="13.1111111111111" style="71" customWidth="1"/>
    <col min="6" max="6" width="11.5555555555556" style="71" customWidth="1"/>
    <col min="7" max="7" width="13.6666666666667" style="71" customWidth="1"/>
    <col min="8" max="8" width="11.7777777777778" style="71"/>
    <col min="9" max="9" width="12.8888888888889" style="71"/>
    <col min="10" max="10" width="8.88888888888889" style="71"/>
    <col min="11" max="11" width="13.4444444444444" style="71" customWidth="1"/>
    <col min="12" max="12" width="12.8888888888889" style="71"/>
    <col min="13" max="23" width="8.88888888888889" style="71"/>
    <col min="24" max="24" width="12.8888888888889" style="71"/>
    <col min="25" max="16384" width="8.88888888888889" style="71"/>
  </cols>
  <sheetData>
    <row r="1" spans="1:24">
      <c r="A1" s="72" t="s">
        <v>0</v>
      </c>
      <c r="B1" s="72"/>
      <c r="C1" s="72"/>
      <c r="D1" s="72"/>
      <c r="E1" s="72"/>
      <c r="F1" s="72"/>
      <c r="G1" s="72"/>
      <c r="H1" s="72"/>
      <c r="I1" s="72"/>
      <c r="J1" s="72"/>
      <c r="K1" s="72"/>
      <c r="L1" s="72"/>
      <c r="M1" s="82" t="s">
        <v>1</v>
      </c>
      <c r="N1" s="82"/>
      <c r="O1" s="82"/>
      <c r="P1" s="82"/>
      <c r="Q1" s="82"/>
      <c r="R1" s="82"/>
      <c r="S1" s="82"/>
      <c r="T1" s="82"/>
      <c r="U1" s="82"/>
      <c r="V1" s="82"/>
      <c r="W1" s="82"/>
      <c r="X1" s="82"/>
    </row>
    <row r="2" spans="1:24">
      <c r="A2" s="86" t="s">
        <v>2</v>
      </c>
      <c r="B2" s="86" t="s">
        <v>3</v>
      </c>
      <c r="C2" s="77" t="s">
        <v>4</v>
      </c>
      <c r="D2" s="77" t="s">
        <v>5</v>
      </c>
      <c r="E2" s="77" t="s">
        <v>6</v>
      </c>
      <c r="F2" s="77" t="s">
        <v>7</v>
      </c>
      <c r="G2" s="77" t="s">
        <v>8</v>
      </c>
      <c r="H2" s="77" t="s">
        <v>9</v>
      </c>
      <c r="I2" s="77" t="s">
        <v>10</v>
      </c>
      <c r="J2" s="77" t="s">
        <v>11</v>
      </c>
      <c r="K2" s="77" t="s">
        <v>4</v>
      </c>
      <c r="L2" s="91" t="s">
        <v>12</v>
      </c>
      <c r="M2" s="86" t="s">
        <v>2</v>
      </c>
      <c r="N2" s="86" t="s">
        <v>3</v>
      </c>
      <c r="O2" s="77" t="s">
        <v>4</v>
      </c>
      <c r="P2" s="77" t="s">
        <v>5</v>
      </c>
      <c r="Q2" s="77" t="s">
        <v>6</v>
      </c>
      <c r="R2" s="77" t="s">
        <v>7</v>
      </c>
      <c r="S2" s="77" t="s">
        <v>8</v>
      </c>
      <c r="T2" s="77" t="s">
        <v>9</v>
      </c>
      <c r="U2" s="77" t="s">
        <v>10</v>
      </c>
      <c r="V2" s="77" t="s">
        <v>11</v>
      </c>
      <c r="W2" s="77" t="s">
        <v>4</v>
      </c>
      <c r="X2" s="91" t="s">
        <v>12</v>
      </c>
    </row>
    <row r="3" spans="1:24">
      <c r="A3" s="86" t="s">
        <v>53</v>
      </c>
      <c r="B3" s="87">
        <v>916340.640499405</v>
      </c>
      <c r="C3" s="86">
        <v>920</v>
      </c>
      <c r="D3" s="77">
        <v>10</v>
      </c>
      <c r="E3" s="77">
        <f>AVERAGE(C3:C43)</f>
        <v>1168.26829268293</v>
      </c>
      <c r="F3" s="77">
        <f>MODE(C3:C43)</f>
        <v>1330</v>
      </c>
      <c r="G3" s="77">
        <f>MEDIAN(C3:C43)</f>
        <v>1257</v>
      </c>
      <c r="H3" s="77">
        <f>_xlfn.STDEV.S(C3:C43)</f>
        <v>459.473341141259</v>
      </c>
      <c r="I3" s="74">
        <f>(H3)/41^(1/2)</f>
        <v>71.7576801735572</v>
      </c>
      <c r="J3" s="74">
        <f>1.96*(I3)</f>
        <v>140.645053140172</v>
      </c>
      <c r="K3" s="86">
        <v>920</v>
      </c>
      <c r="L3" s="91">
        <f>_xlfn.NORM.DIST(K3,$E$3,$H$3,FALSE)</f>
        <v>0.000750328865757299</v>
      </c>
      <c r="M3" s="86" t="s">
        <v>53</v>
      </c>
      <c r="N3" s="87">
        <v>916340.640499405</v>
      </c>
      <c r="O3" s="86">
        <v>920</v>
      </c>
      <c r="P3" s="77">
        <v>10</v>
      </c>
      <c r="Q3" s="77">
        <f>AVERAGE(O3:O43)</f>
        <v>1222.09756097561</v>
      </c>
      <c r="R3" s="77">
        <f>MODE(O3:O43)</f>
        <v>1330</v>
      </c>
      <c r="S3" s="77">
        <f>MEDIAN(O3:O43)</f>
        <v>1260</v>
      </c>
      <c r="T3" s="77">
        <f>_xlfn.STDEV.S(O3:O43)</f>
        <v>391.628765853458</v>
      </c>
      <c r="U3" s="74">
        <f>(T3)/41^(1/2)</f>
        <v>61.1621376271266</v>
      </c>
      <c r="V3" s="74">
        <f>1.96*(U3)</f>
        <v>119.877789749168</v>
      </c>
      <c r="W3" s="86">
        <v>920</v>
      </c>
      <c r="X3" s="91">
        <f>_xlfn.NORM.DIST(W3,$Q$3,$T$3,FALSE)</f>
        <v>0.000756527035407186</v>
      </c>
    </row>
    <row r="4" spans="1:24">
      <c r="A4" s="88" t="s">
        <v>54</v>
      </c>
      <c r="B4" s="89">
        <v>113322.951531421</v>
      </c>
      <c r="C4" s="88">
        <v>113</v>
      </c>
      <c r="D4" s="90">
        <v>2</v>
      </c>
      <c r="E4" s="77"/>
      <c r="F4" s="77"/>
      <c r="G4" s="77"/>
      <c r="H4" s="77"/>
      <c r="I4" s="77"/>
      <c r="J4" s="77"/>
      <c r="K4" s="88">
        <v>113</v>
      </c>
      <c r="L4" s="91">
        <f>_xlfn.NORM.DIST(K4,$E$3,$H$3,FALSE)</f>
        <v>6.2121758146192e-5</v>
      </c>
      <c r="M4" s="88" t="s">
        <v>54</v>
      </c>
      <c r="N4" s="89">
        <v>1133229.51531421</v>
      </c>
      <c r="O4" s="88">
        <v>1130</v>
      </c>
      <c r="P4" s="90">
        <v>20</v>
      </c>
      <c r="Q4" s="77"/>
      <c r="R4" s="77"/>
      <c r="S4" s="77"/>
      <c r="T4" s="77"/>
      <c r="U4" s="77"/>
      <c r="V4" s="77"/>
      <c r="W4" s="88">
        <v>1130</v>
      </c>
      <c r="X4" s="91">
        <f>_xlfn.NORM.DIST(W4,$Q$3,$T$3,FALSE)</f>
        <v>0.000990892707447219</v>
      </c>
    </row>
    <row r="5" spans="1:24">
      <c r="A5" s="86" t="s">
        <v>55</v>
      </c>
      <c r="B5" s="87">
        <v>256360.2587099</v>
      </c>
      <c r="C5" s="86">
        <v>260</v>
      </c>
      <c r="D5" s="77">
        <v>10</v>
      </c>
      <c r="E5" s="77"/>
      <c r="F5" s="77"/>
      <c r="G5" s="77"/>
      <c r="H5" s="77"/>
      <c r="I5" s="77"/>
      <c r="J5" s="77"/>
      <c r="K5" s="86">
        <v>260</v>
      </c>
      <c r="L5" s="91">
        <f>_xlfn.NORM.DIST(K5,$E$3,$H$3,FALSE)</f>
        <v>0.000123063691547667</v>
      </c>
      <c r="M5" s="86" t="s">
        <v>55</v>
      </c>
      <c r="N5" s="87">
        <v>256360.2587099</v>
      </c>
      <c r="O5" s="86">
        <v>260</v>
      </c>
      <c r="P5" s="77">
        <v>10</v>
      </c>
      <c r="Q5" s="77"/>
      <c r="R5" s="77"/>
      <c r="S5" s="77"/>
      <c r="T5" s="77"/>
      <c r="U5" s="77"/>
      <c r="V5" s="77"/>
      <c r="W5" s="86">
        <v>260</v>
      </c>
      <c r="X5" s="91">
        <f>_xlfn.NORM.DIST(W5,$Q$3,$T$3,FALSE)</f>
        <v>4.98329183568217e-5</v>
      </c>
    </row>
    <row r="6" spans="1:24">
      <c r="A6" s="86" t="s">
        <v>56</v>
      </c>
      <c r="B6" s="87">
        <v>1329104.48117726</v>
      </c>
      <c r="C6" s="86">
        <v>1330</v>
      </c>
      <c r="D6" s="77">
        <v>20</v>
      </c>
      <c r="E6" s="77"/>
      <c r="F6" s="77"/>
      <c r="G6" s="77"/>
      <c r="H6" s="77"/>
      <c r="I6" s="77"/>
      <c r="J6" s="77"/>
      <c r="K6" s="86">
        <v>1330</v>
      </c>
      <c r="L6" s="91">
        <f>_xlfn.NORM.DIST(K6,$E$3,$H$3,FALSE)</f>
        <v>0.000816103618304149</v>
      </c>
      <c r="M6" s="86" t="s">
        <v>56</v>
      </c>
      <c r="N6" s="87">
        <v>1329104.48117726</v>
      </c>
      <c r="O6" s="86">
        <v>1330</v>
      </c>
      <c r="P6" s="77">
        <v>20</v>
      </c>
      <c r="Q6" s="77"/>
      <c r="R6" s="77"/>
      <c r="S6" s="77"/>
      <c r="T6" s="77"/>
      <c r="U6" s="77"/>
      <c r="V6" s="77"/>
      <c r="W6" s="86">
        <v>1330</v>
      </c>
      <c r="X6" s="91">
        <f>_xlfn.NORM.DIST(W6,$Q$3,$T$3,FALSE)</f>
        <v>0.000980734130757865</v>
      </c>
    </row>
    <row r="7" spans="1:24">
      <c r="A7" s="88" t="s">
        <v>57</v>
      </c>
      <c r="B7" s="89">
        <v>1308733.90393644</v>
      </c>
      <c r="C7" s="88">
        <v>1310</v>
      </c>
      <c r="D7" s="90">
        <v>20</v>
      </c>
      <c r="E7" s="77"/>
      <c r="F7" s="77"/>
      <c r="G7" s="77"/>
      <c r="H7" s="77"/>
      <c r="I7" s="77"/>
      <c r="J7" s="77"/>
      <c r="K7" s="88">
        <v>1310</v>
      </c>
      <c r="L7" s="91">
        <f>_xlfn.NORM.DIST(K7,$E$3,$H$3,FALSE)</f>
        <v>0.000827919226406978</v>
      </c>
      <c r="M7" s="88" t="s">
        <v>57</v>
      </c>
      <c r="N7" s="89">
        <v>1306901.50970525</v>
      </c>
      <c r="O7" s="88">
        <v>1310</v>
      </c>
      <c r="P7" s="90">
        <v>20</v>
      </c>
      <c r="Q7" s="77"/>
      <c r="R7" s="77"/>
      <c r="S7" s="77"/>
      <c r="T7" s="77"/>
      <c r="U7" s="77"/>
      <c r="V7" s="77"/>
      <c r="W7" s="88">
        <v>1310</v>
      </c>
      <c r="X7" s="91">
        <f>_xlfn.NORM.DIST(W7,$Q$3,$T$3,FALSE)</f>
        <v>0.000993335008677535</v>
      </c>
    </row>
    <row r="8" spans="1:24">
      <c r="A8" s="86" t="s">
        <v>58</v>
      </c>
      <c r="B8" s="87">
        <v>1333320.36625824</v>
      </c>
      <c r="C8" s="86">
        <v>1330</v>
      </c>
      <c r="D8" s="86">
        <v>20</v>
      </c>
      <c r="E8" s="77"/>
      <c r="F8" s="77"/>
      <c r="G8" s="77"/>
      <c r="H8" s="77"/>
      <c r="I8" s="77"/>
      <c r="J8" s="77"/>
      <c r="K8" s="86">
        <v>1330</v>
      </c>
      <c r="L8" s="91">
        <f>_xlfn.NORM.DIST(K8,$E$3,$H$3,FALSE)</f>
        <v>0.000816103618304149</v>
      </c>
      <c r="M8" s="86" t="s">
        <v>58</v>
      </c>
      <c r="N8" s="87">
        <v>1333320.36625824</v>
      </c>
      <c r="O8" s="86">
        <v>1330</v>
      </c>
      <c r="P8" s="86">
        <v>20</v>
      </c>
      <c r="Q8" s="77"/>
      <c r="R8" s="77"/>
      <c r="S8" s="77"/>
      <c r="T8" s="77"/>
      <c r="U8" s="77"/>
      <c r="V8" s="77"/>
      <c r="W8" s="86">
        <v>1330</v>
      </c>
      <c r="X8" s="91">
        <f>_xlfn.NORM.DIST(W8,$Q$3,$T$3,FALSE)</f>
        <v>0.000980734130757865</v>
      </c>
    </row>
    <row r="9" spans="1:24">
      <c r="A9" s="86" t="s">
        <v>59</v>
      </c>
      <c r="B9" s="87">
        <v>1332380.16869609</v>
      </c>
      <c r="C9" s="86">
        <v>1330</v>
      </c>
      <c r="D9" s="77">
        <v>20</v>
      </c>
      <c r="E9" s="77"/>
      <c r="F9" s="77"/>
      <c r="G9" s="77"/>
      <c r="H9" s="77"/>
      <c r="I9" s="77"/>
      <c r="J9" s="77"/>
      <c r="K9" s="86">
        <v>1330</v>
      </c>
      <c r="L9" s="91">
        <f>_xlfn.NORM.DIST(K9,$E$3,$H$3,FALSE)</f>
        <v>0.000816103618304149</v>
      </c>
      <c r="M9" s="86" t="s">
        <v>59</v>
      </c>
      <c r="N9" s="87">
        <v>1332380.16869609</v>
      </c>
      <c r="O9" s="86">
        <v>1330</v>
      </c>
      <c r="P9" s="77">
        <v>20</v>
      </c>
      <c r="Q9" s="77"/>
      <c r="R9" s="77"/>
      <c r="S9" s="77"/>
      <c r="T9" s="77"/>
      <c r="U9" s="77"/>
      <c r="V9" s="77"/>
      <c r="W9" s="86">
        <v>1330</v>
      </c>
      <c r="X9" s="91">
        <f>_xlfn.NORM.DIST(W9,$Q$3,$T$3,FALSE)</f>
        <v>0.000980734130757865</v>
      </c>
    </row>
    <row r="10" spans="1:24">
      <c r="A10" s="88" t="s">
        <v>60</v>
      </c>
      <c r="B10" s="89">
        <v>123436.869701392</v>
      </c>
      <c r="C10" s="88">
        <v>120</v>
      </c>
      <c r="D10" s="90">
        <v>10</v>
      </c>
      <c r="E10" s="77"/>
      <c r="F10" s="77"/>
      <c r="G10" s="77"/>
      <c r="H10" s="77"/>
      <c r="I10" s="77"/>
      <c r="J10" s="77"/>
      <c r="K10" s="88">
        <v>120</v>
      </c>
      <c r="L10" s="77">
        <f>_xlfn.NORM.DIST(K10,$E$3,$H$3,FALSE)</f>
        <v>6.43263893039164e-5</v>
      </c>
      <c r="M10" s="88" t="s">
        <v>60</v>
      </c>
      <c r="N10" s="89">
        <v>1309790.87295731</v>
      </c>
      <c r="O10" s="88">
        <v>1310</v>
      </c>
      <c r="P10" s="90">
        <v>10</v>
      </c>
      <c r="Q10" s="77"/>
      <c r="R10" s="77"/>
      <c r="S10" s="77"/>
      <c r="T10" s="77"/>
      <c r="U10" s="77"/>
      <c r="V10" s="77"/>
      <c r="W10" s="88">
        <v>1310</v>
      </c>
      <c r="X10" s="91">
        <f>_xlfn.NORM.DIST(W10,$Q$3,$T$3,FALSE)</f>
        <v>0.000993335008677535</v>
      </c>
    </row>
    <row r="11" spans="1:24">
      <c r="A11" s="86" t="s">
        <v>61</v>
      </c>
      <c r="B11" s="87">
        <v>1415694.95601617</v>
      </c>
      <c r="C11" s="86">
        <v>1420</v>
      </c>
      <c r="D11" s="77">
        <v>20</v>
      </c>
      <c r="E11" s="77"/>
      <c r="F11" s="77"/>
      <c r="G11" s="77"/>
      <c r="H11" s="77"/>
      <c r="I11" s="77"/>
      <c r="J11" s="77"/>
      <c r="K11" s="86">
        <v>1420</v>
      </c>
      <c r="L11" s="77">
        <f>_xlfn.NORM.DIST(K11,$E$3,$H$3,FALSE)</f>
        <v>0.000747257827494589</v>
      </c>
      <c r="M11" s="86" t="s">
        <v>61</v>
      </c>
      <c r="N11" s="87">
        <v>1415694.95601617</v>
      </c>
      <c r="O11" s="86">
        <v>1420</v>
      </c>
      <c r="P11" s="77">
        <v>20</v>
      </c>
      <c r="Q11" s="77"/>
      <c r="R11" s="77"/>
      <c r="S11" s="77"/>
      <c r="T11" s="77"/>
      <c r="U11" s="77"/>
      <c r="V11" s="77"/>
      <c r="W11" s="86">
        <v>1420</v>
      </c>
      <c r="X11" s="91">
        <f>_xlfn.NORM.DIST(W11,$Q$3,$T$3,FALSE)</f>
        <v>0.000896571087545959</v>
      </c>
    </row>
    <row r="12" spans="1:24">
      <c r="A12" s="86" t="s">
        <v>62</v>
      </c>
      <c r="B12" s="87">
        <v>1338494.77389165</v>
      </c>
      <c r="C12" s="86">
        <v>1340</v>
      </c>
      <c r="D12" s="77">
        <v>30</v>
      </c>
      <c r="E12" s="77"/>
      <c r="F12" s="77"/>
      <c r="G12" s="77"/>
      <c r="H12" s="77"/>
      <c r="I12" s="77"/>
      <c r="J12" s="77"/>
      <c r="K12" s="86">
        <v>1340</v>
      </c>
      <c r="L12" s="77">
        <f>_xlfn.NORM.DIST(K12,$E$3,$H$3,FALSE)</f>
        <v>0.000809683706811444</v>
      </c>
      <c r="M12" s="86" t="s">
        <v>62</v>
      </c>
      <c r="N12" s="87">
        <v>1338494.77389165</v>
      </c>
      <c r="O12" s="86">
        <v>1340</v>
      </c>
      <c r="P12" s="77">
        <v>30</v>
      </c>
      <c r="Q12" s="77"/>
      <c r="R12" s="77"/>
      <c r="S12" s="77"/>
      <c r="T12" s="77"/>
      <c r="U12" s="77"/>
      <c r="V12" s="77"/>
      <c r="W12" s="86">
        <v>1340</v>
      </c>
      <c r="X12" s="91">
        <f>_xlfn.NORM.DIST(W12,$Q$3,$T$3,FALSE)</f>
        <v>0.000973541165850947</v>
      </c>
    </row>
    <row r="13" spans="1:24">
      <c r="A13" s="86" t="s">
        <v>63</v>
      </c>
      <c r="B13" s="87">
        <v>1319081.89959735</v>
      </c>
      <c r="C13" s="86">
        <v>1320</v>
      </c>
      <c r="D13" s="77">
        <v>20</v>
      </c>
      <c r="E13" s="77"/>
      <c r="F13" s="77"/>
      <c r="G13" s="77"/>
      <c r="H13" s="77"/>
      <c r="I13" s="77"/>
      <c r="J13" s="77"/>
      <c r="K13" s="86">
        <v>1320</v>
      </c>
      <c r="L13" s="77">
        <f>_xlfn.NORM.DIST(K13,$E$3,$H$3,FALSE)</f>
        <v>0.000822184893022948</v>
      </c>
      <c r="M13" s="86" t="s">
        <v>63</v>
      </c>
      <c r="N13" s="87">
        <v>1319081.89959735</v>
      </c>
      <c r="O13" s="86">
        <v>1320</v>
      </c>
      <c r="P13" s="77">
        <v>20</v>
      </c>
      <c r="Q13" s="77"/>
      <c r="R13" s="77"/>
      <c r="S13" s="77"/>
      <c r="T13" s="77"/>
      <c r="U13" s="77"/>
      <c r="V13" s="77"/>
      <c r="W13" s="86">
        <v>1320</v>
      </c>
      <c r="X13" s="91">
        <f>_xlfn.NORM.DIST(W13,$Q$3,$T$3,FALSE)</f>
        <v>0.000987336282598668</v>
      </c>
    </row>
    <row r="14" spans="1:24">
      <c r="A14" s="88" t="s">
        <v>64</v>
      </c>
      <c r="B14" s="89">
        <v>834438.667684673</v>
      </c>
      <c r="C14" s="88">
        <v>830</v>
      </c>
      <c r="D14" s="90">
        <v>30</v>
      </c>
      <c r="E14" s="77"/>
      <c r="F14" s="77"/>
      <c r="G14" s="77"/>
      <c r="H14" s="77"/>
      <c r="I14" s="77"/>
      <c r="J14" s="77"/>
      <c r="K14" s="88">
        <v>830</v>
      </c>
      <c r="L14" s="77">
        <f>_xlfn.NORM.DIST(K14,$E$3,$H$3,FALSE)</f>
        <v>0.000662148229362289</v>
      </c>
      <c r="M14" s="88" t="s">
        <v>64</v>
      </c>
      <c r="N14" s="92">
        <v>833176.095354587</v>
      </c>
      <c r="O14" s="88">
        <v>830</v>
      </c>
      <c r="P14" s="90">
        <v>30</v>
      </c>
      <c r="Q14" s="77"/>
      <c r="R14" s="77"/>
      <c r="S14" s="77"/>
      <c r="T14" s="77"/>
      <c r="U14" s="77"/>
      <c r="V14" s="77"/>
      <c r="W14" s="88">
        <v>830</v>
      </c>
      <c r="X14" s="91">
        <f>_xlfn.NORM.DIST(W14,$Q$3,$T$3,FALSE)</f>
        <v>0.000617117783989281</v>
      </c>
    </row>
    <row r="15" spans="1:24">
      <c r="A15" s="86" t="s">
        <v>65</v>
      </c>
      <c r="B15" s="87">
        <v>1257506.63871662</v>
      </c>
      <c r="C15" s="86">
        <v>1260</v>
      </c>
      <c r="D15" s="77">
        <v>20</v>
      </c>
      <c r="E15" s="77"/>
      <c r="F15" s="77"/>
      <c r="G15" s="77"/>
      <c r="H15" s="77"/>
      <c r="I15" s="77"/>
      <c r="J15" s="77"/>
      <c r="K15" s="86">
        <v>1260</v>
      </c>
      <c r="L15" s="77">
        <f>_xlfn.NORM.DIST(K15,$E$3,$H$3,FALSE)</f>
        <v>0.000851127526853006</v>
      </c>
      <c r="M15" s="86" t="s">
        <v>65</v>
      </c>
      <c r="N15" s="87">
        <v>1257506.63871662</v>
      </c>
      <c r="O15" s="86">
        <v>1260</v>
      </c>
      <c r="P15" s="77">
        <v>20</v>
      </c>
      <c r="Q15" s="77"/>
      <c r="R15" s="77"/>
      <c r="S15" s="77"/>
      <c r="T15" s="77"/>
      <c r="U15" s="77"/>
      <c r="V15" s="77"/>
      <c r="W15" s="86">
        <v>1260</v>
      </c>
      <c r="X15" s="91">
        <f>_xlfn.NORM.DIST(W15,$Q$3,$T$3,FALSE)</f>
        <v>0.00101391497073616</v>
      </c>
    </row>
    <row r="16" spans="1:24">
      <c r="A16" s="86" t="s">
        <v>66</v>
      </c>
      <c r="B16" s="87">
        <v>683360.50955414</v>
      </c>
      <c r="C16" s="86">
        <v>683</v>
      </c>
      <c r="D16" s="77">
        <v>10</v>
      </c>
      <c r="E16" s="77"/>
      <c r="F16" s="77"/>
      <c r="G16" s="77"/>
      <c r="H16" s="77"/>
      <c r="I16" s="77"/>
      <c r="J16" s="77"/>
      <c r="K16" s="86">
        <v>683</v>
      </c>
      <c r="L16" s="77">
        <f>_xlfn.NORM.DIST(K16,$E$3,$H$3,FALSE)</f>
        <v>0.000497091930752994</v>
      </c>
      <c r="M16" s="86" t="s">
        <v>66</v>
      </c>
      <c r="N16" s="87">
        <v>683360.50955414</v>
      </c>
      <c r="O16" s="86">
        <v>683</v>
      </c>
      <c r="P16" s="77">
        <v>10</v>
      </c>
      <c r="Q16" s="77"/>
      <c r="R16" s="77"/>
      <c r="S16" s="77"/>
      <c r="T16" s="77"/>
      <c r="U16" s="77"/>
      <c r="V16" s="77"/>
      <c r="W16" s="86">
        <v>683</v>
      </c>
      <c r="X16" s="91">
        <f>_xlfn.NORM.DIST(W16,$Q$3,$T$3,FALSE)</f>
        <v>0.00039496977853464</v>
      </c>
    </row>
    <row r="17" spans="1:24">
      <c r="A17" s="86" t="s">
        <v>67</v>
      </c>
      <c r="B17" s="87">
        <v>2126860.26829683</v>
      </c>
      <c r="C17" s="86">
        <v>2130</v>
      </c>
      <c r="D17" s="77">
        <v>10</v>
      </c>
      <c r="E17" s="77"/>
      <c r="F17" s="77"/>
      <c r="G17" s="77"/>
      <c r="H17" s="77"/>
      <c r="I17" s="77"/>
      <c r="J17" s="77"/>
      <c r="K17" s="86">
        <v>2130</v>
      </c>
      <c r="L17" s="77">
        <f>_xlfn.NORM.DIST(K17,$E$3,$H$3,FALSE)</f>
        <v>9.7117403655677e-5</v>
      </c>
      <c r="M17" s="86" t="s">
        <v>67</v>
      </c>
      <c r="N17" s="87">
        <v>2126860.26829683</v>
      </c>
      <c r="O17" s="86">
        <v>2130</v>
      </c>
      <c r="P17" s="77">
        <v>10</v>
      </c>
      <c r="Q17" s="77"/>
      <c r="R17" s="77"/>
      <c r="S17" s="77"/>
      <c r="T17" s="77"/>
      <c r="U17" s="77"/>
      <c r="V17" s="77"/>
      <c r="W17" s="86">
        <v>2130</v>
      </c>
      <c r="X17" s="91">
        <f>_xlfn.NORM.DIST(W17,$Q$3,$T$3,FALSE)</f>
        <v>6.93428153260184e-5</v>
      </c>
    </row>
    <row r="18" spans="1:24">
      <c r="A18" s="86" t="s">
        <v>68</v>
      </c>
      <c r="B18" s="87">
        <v>1055656.66113263</v>
      </c>
      <c r="C18" s="86">
        <v>1060</v>
      </c>
      <c r="D18" s="77">
        <v>10</v>
      </c>
      <c r="E18" s="77"/>
      <c r="F18" s="77"/>
      <c r="G18" s="77"/>
      <c r="H18" s="77"/>
      <c r="I18" s="77"/>
      <c r="J18" s="77"/>
      <c r="K18" s="86">
        <v>1060</v>
      </c>
      <c r="L18" s="77">
        <f>_xlfn.NORM.DIST(K18,$E$3,$H$3,FALSE)</f>
        <v>0.000844486732308202</v>
      </c>
      <c r="M18" s="86" t="s">
        <v>68</v>
      </c>
      <c r="N18" s="87">
        <v>1055656.66113263</v>
      </c>
      <c r="O18" s="86">
        <v>1060</v>
      </c>
      <c r="P18" s="77">
        <v>10</v>
      </c>
      <c r="Q18" s="77"/>
      <c r="R18" s="77"/>
      <c r="S18" s="77"/>
      <c r="T18" s="77"/>
      <c r="U18" s="77"/>
      <c r="V18" s="77"/>
      <c r="W18" s="86">
        <v>1060</v>
      </c>
      <c r="X18" s="91">
        <f>_xlfn.NORM.DIST(W18,$Q$3,$T$3,FALSE)</f>
        <v>0.000935048596152644</v>
      </c>
    </row>
    <row r="19" spans="1:24">
      <c r="A19" s="86" t="s">
        <v>69</v>
      </c>
      <c r="B19" s="87">
        <v>1383701.02851173</v>
      </c>
      <c r="C19" s="86">
        <v>1380</v>
      </c>
      <c r="D19" s="77">
        <v>20</v>
      </c>
      <c r="E19" s="77"/>
      <c r="F19" s="77"/>
      <c r="G19" s="77"/>
      <c r="H19" s="77"/>
      <c r="I19" s="77"/>
      <c r="J19" s="77"/>
      <c r="K19" s="86">
        <v>1380</v>
      </c>
      <c r="L19" s="77">
        <f>_xlfn.NORM.DIST(K19,$E$3,$H$3,FALSE)</f>
        <v>0.000780797920248114</v>
      </c>
      <c r="M19" s="86" t="s">
        <v>69</v>
      </c>
      <c r="N19" s="87">
        <v>1383701.02851173</v>
      </c>
      <c r="O19" s="86">
        <v>1380</v>
      </c>
      <c r="P19" s="77">
        <v>20</v>
      </c>
      <c r="Q19" s="77"/>
      <c r="R19" s="77"/>
      <c r="S19" s="77"/>
      <c r="T19" s="77"/>
      <c r="U19" s="77"/>
      <c r="V19" s="77"/>
      <c r="W19" s="86">
        <v>1380</v>
      </c>
      <c r="X19" s="91">
        <f>_xlfn.NORM.DIST(W19,$Q$3,$T$3,FALSE)</f>
        <v>0.000939149695155767</v>
      </c>
    </row>
    <row r="20" spans="1:24">
      <c r="A20" s="86" t="s">
        <v>70</v>
      </c>
      <c r="B20" s="86">
        <v>1509640.04509259</v>
      </c>
      <c r="C20" s="86">
        <v>1510</v>
      </c>
      <c r="D20" s="77">
        <v>20</v>
      </c>
      <c r="E20" s="77"/>
      <c r="F20" s="77"/>
      <c r="G20" s="77"/>
      <c r="H20" s="77"/>
      <c r="I20" s="77"/>
      <c r="J20" s="77"/>
      <c r="K20" s="86">
        <v>1510</v>
      </c>
      <c r="L20" s="77">
        <f>_xlfn.NORM.DIST(K20,$E$3,$H$3,FALSE)</f>
        <v>0.000658465181612844</v>
      </c>
      <c r="M20" s="86" t="s">
        <v>70</v>
      </c>
      <c r="N20" s="86">
        <v>1509640.04509259</v>
      </c>
      <c r="O20" s="86">
        <v>1510</v>
      </c>
      <c r="P20" s="77">
        <v>20</v>
      </c>
      <c r="Q20" s="77"/>
      <c r="R20" s="77"/>
      <c r="S20" s="77"/>
      <c r="T20" s="77"/>
      <c r="U20" s="77"/>
      <c r="V20" s="77"/>
      <c r="W20" s="86">
        <v>1510</v>
      </c>
      <c r="X20" s="91">
        <f>_xlfn.NORM.DIST(W20,$Q$3,$T$3,FALSE)</f>
        <v>0.000777467133463775</v>
      </c>
    </row>
    <row r="21" spans="1:24">
      <c r="A21" s="86" t="s">
        <v>71</v>
      </c>
      <c r="B21" s="87">
        <v>948333.916544656</v>
      </c>
      <c r="C21" s="86">
        <v>950</v>
      </c>
      <c r="D21" s="77">
        <v>10</v>
      </c>
      <c r="E21" s="77"/>
      <c r="F21" s="77"/>
      <c r="G21" s="77"/>
      <c r="H21" s="77"/>
      <c r="I21" s="77"/>
      <c r="J21" s="77"/>
      <c r="K21" s="86">
        <v>950</v>
      </c>
      <c r="L21" s="77">
        <f>_xlfn.NORM.DIST(K21,$E$3,$H$3,FALSE)</f>
        <v>0.000775617527420322</v>
      </c>
      <c r="M21" s="86" t="s">
        <v>71</v>
      </c>
      <c r="N21" s="87">
        <v>948333.916544656</v>
      </c>
      <c r="O21" s="86">
        <v>950</v>
      </c>
      <c r="P21" s="77">
        <v>10</v>
      </c>
      <c r="Q21" s="77"/>
      <c r="R21" s="77"/>
      <c r="S21" s="77"/>
      <c r="T21" s="77"/>
      <c r="U21" s="77"/>
      <c r="V21" s="77"/>
      <c r="W21" s="86">
        <v>950</v>
      </c>
      <c r="X21" s="91">
        <f>_xlfn.NORM.DIST(W21,$Q$3,$T$3,FALSE)</f>
        <v>0.000800226627126873</v>
      </c>
    </row>
    <row r="22" spans="1:24">
      <c r="A22" s="86" t="s">
        <v>72</v>
      </c>
      <c r="B22" s="87">
        <v>2205214.27818757</v>
      </c>
      <c r="C22" s="86">
        <v>2205</v>
      </c>
      <c r="D22" s="77">
        <v>10</v>
      </c>
      <c r="E22" s="77"/>
      <c r="F22" s="77"/>
      <c r="G22" s="77"/>
      <c r="H22" s="77"/>
      <c r="I22" s="77"/>
      <c r="J22" s="77"/>
      <c r="K22" s="86">
        <v>2205</v>
      </c>
      <c r="L22" s="77">
        <f>_xlfn.NORM.DIST(K22,$E$3,$H$3,FALSE)</f>
        <v>6.80973421733042e-5</v>
      </c>
      <c r="M22" s="86" t="s">
        <v>72</v>
      </c>
      <c r="N22" s="87">
        <v>2205214.27818757</v>
      </c>
      <c r="O22" s="86">
        <v>2205</v>
      </c>
      <c r="P22" s="77">
        <v>10</v>
      </c>
      <c r="Q22" s="77"/>
      <c r="R22" s="77"/>
      <c r="S22" s="77"/>
      <c r="T22" s="77"/>
      <c r="U22" s="77"/>
      <c r="V22" s="77"/>
      <c r="W22" s="86">
        <v>2205</v>
      </c>
      <c r="X22" s="91">
        <f>_xlfn.NORM.DIST(W22,$Q$3,$T$3,FALSE)</f>
        <v>4.36741897301838e-5</v>
      </c>
    </row>
    <row r="23" spans="1:24">
      <c r="A23" s="86" t="s">
        <v>73</v>
      </c>
      <c r="B23" s="86">
        <v>1056865.4771214</v>
      </c>
      <c r="C23" s="86">
        <v>1060</v>
      </c>
      <c r="D23" s="86">
        <v>20</v>
      </c>
      <c r="E23" s="77"/>
      <c r="F23" s="77"/>
      <c r="G23" s="77"/>
      <c r="H23" s="77"/>
      <c r="I23" s="77"/>
      <c r="J23" s="77"/>
      <c r="K23" s="86">
        <v>1060</v>
      </c>
      <c r="L23" s="77">
        <f>_xlfn.NORM.DIST(K23,$E$3,$H$3,FALSE)</f>
        <v>0.000844486732308202</v>
      </c>
      <c r="M23" s="86" t="s">
        <v>73</v>
      </c>
      <c r="N23" s="86">
        <v>1056865.4771214</v>
      </c>
      <c r="O23" s="86">
        <v>1060</v>
      </c>
      <c r="P23" s="86">
        <v>20</v>
      </c>
      <c r="Q23" s="77"/>
      <c r="R23" s="77"/>
      <c r="S23" s="77"/>
      <c r="T23" s="77"/>
      <c r="U23" s="77"/>
      <c r="V23" s="77"/>
      <c r="W23" s="86">
        <v>1060</v>
      </c>
      <c r="X23" s="91">
        <f>_xlfn.NORM.DIST(W23,$Q$3,$T$3,FALSE)</f>
        <v>0.000935048596152644</v>
      </c>
    </row>
    <row r="24" spans="1:24">
      <c r="A24" s="86" t="s">
        <v>74</v>
      </c>
      <c r="B24" s="86">
        <v>1743983.36520611</v>
      </c>
      <c r="C24" s="86">
        <v>1740</v>
      </c>
      <c r="D24" s="86">
        <v>10</v>
      </c>
      <c r="E24" s="77"/>
      <c r="F24" s="77"/>
      <c r="G24" s="77"/>
      <c r="H24" s="77"/>
      <c r="I24" s="77"/>
      <c r="J24" s="77"/>
      <c r="K24" s="86">
        <v>1740</v>
      </c>
      <c r="L24" s="77">
        <f>_xlfn.NORM.DIST(K24,$E$3,$H$3,FALSE)</f>
        <v>0.000400344491531893</v>
      </c>
      <c r="M24" s="86" t="s">
        <v>74</v>
      </c>
      <c r="N24" s="86">
        <v>1743983.36520611</v>
      </c>
      <c r="O24" s="86">
        <v>1740</v>
      </c>
      <c r="P24" s="86">
        <v>10</v>
      </c>
      <c r="Q24" s="77"/>
      <c r="R24" s="77"/>
      <c r="S24" s="77"/>
      <c r="T24" s="77"/>
      <c r="U24" s="77"/>
      <c r="V24" s="77"/>
      <c r="W24" s="86">
        <v>1740</v>
      </c>
      <c r="X24" s="91">
        <f>_xlfn.NORM.DIST(W24,$Q$3,$T$3,FALSE)</f>
        <v>0.000424895973737033</v>
      </c>
    </row>
    <row r="25" spans="1:24">
      <c r="A25" s="86" t="s">
        <v>75</v>
      </c>
      <c r="B25" s="86">
        <v>619635.692307692</v>
      </c>
      <c r="C25" s="86">
        <v>620</v>
      </c>
      <c r="D25" s="86">
        <v>20</v>
      </c>
      <c r="E25" s="77"/>
      <c r="F25" s="77"/>
      <c r="G25" s="77"/>
      <c r="H25" s="77"/>
      <c r="I25" s="77"/>
      <c r="J25" s="77"/>
      <c r="K25" s="86">
        <v>620</v>
      </c>
      <c r="L25" s="77">
        <f>_xlfn.NORM.DIST(K25,$E$3,$H$3,FALSE)</f>
        <v>0.000426053034194219</v>
      </c>
      <c r="M25" s="86" t="s">
        <v>75</v>
      </c>
      <c r="N25" s="86">
        <v>619635.692307692</v>
      </c>
      <c r="O25" s="86">
        <v>620</v>
      </c>
      <c r="P25" s="86">
        <v>20</v>
      </c>
      <c r="Q25" s="77"/>
      <c r="R25" s="77"/>
      <c r="S25" s="77"/>
      <c r="T25" s="77"/>
      <c r="U25" s="77"/>
      <c r="V25" s="77"/>
      <c r="W25" s="86">
        <v>620</v>
      </c>
      <c r="X25" s="91">
        <f>_xlfn.NORM.DIST(W25,$Q$3,$T$3,FALSE)</f>
        <v>0.000312445124225324</v>
      </c>
    </row>
    <row r="26" spans="1:24">
      <c r="A26" s="86" t="s">
        <v>76</v>
      </c>
      <c r="B26" s="86">
        <v>937320.01707213</v>
      </c>
      <c r="C26" s="86">
        <v>940</v>
      </c>
      <c r="D26" s="86">
        <v>30</v>
      </c>
      <c r="E26" s="77"/>
      <c r="F26" s="77"/>
      <c r="G26" s="77"/>
      <c r="H26" s="77"/>
      <c r="I26" s="77"/>
      <c r="J26" s="77"/>
      <c r="K26" s="86">
        <v>940</v>
      </c>
      <c r="L26" s="77">
        <f>_xlfn.NORM.DIST(K26,$E$3,$H$3,FALSE)</f>
        <v>0.000767458101886207</v>
      </c>
      <c r="M26" s="86" t="s">
        <v>76</v>
      </c>
      <c r="N26" s="86">
        <v>937320.01707213</v>
      </c>
      <c r="O26" s="86">
        <v>940</v>
      </c>
      <c r="P26" s="86">
        <v>30</v>
      </c>
      <c r="Q26" s="77"/>
      <c r="R26" s="77"/>
      <c r="S26" s="77"/>
      <c r="T26" s="77"/>
      <c r="U26" s="77"/>
      <c r="V26" s="77"/>
      <c r="W26" s="86">
        <v>940</v>
      </c>
      <c r="X26" s="91">
        <f>_xlfn.NORM.DIST(W26,$Q$3,$T$3,FALSE)</f>
        <v>0.0007858988352845</v>
      </c>
    </row>
    <row r="27" spans="1:24">
      <c r="A27" s="86" t="s">
        <v>77</v>
      </c>
      <c r="B27" s="86">
        <v>1487418.76329999</v>
      </c>
      <c r="C27" s="86">
        <v>1490</v>
      </c>
      <c r="D27" s="86">
        <v>10</v>
      </c>
      <c r="E27" s="77"/>
      <c r="F27" s="77"/>
      <c r="G27" s="77"/>
      <c r="H27" s="77"/>
      <c r="I27" s="77"/>
      <c r="J27" s="77"/>
      <c r="K27" s="86">
        <v>1490</v>
      </c>
      <c r="L27" s="77">
        <f>_xlfn.NORM.DIST(K27,$E$3,$H$3,FALSE)</f>
        <v>0.00067948704513687</v>
      </c>
      <c r="M27" s="86" t="s">
        <v>77</v>
      </c>
      <c r="N27" s="86">
        <v>1487418.76329999</v>
      </c>
      <c r="O27" s="86">
        <v>1490</v>
      </c>
      <c r="P27" s="86">
        <v>10</v>
      </c>
      <c r="Q27" s="77"/>
      <c r="R27" s="77"/>
      <c r="S27" s="77"/>
      <c r="T27" s="77"/>
      <c r="U27" s="77"/>
      <c r="V27" s="77"/>
      <c r="W27" s="86">
        <v>1490</v>
      </c>
      <c r="X27" s="91">
        <f>_xlfn.NORM.DIST(W27,$Q$3,$T$3,FALSE)</f>
        <v>0.000806158295135624</v>
      </c>
    </row>
    <row r="28" spans="1:24">
      <c r="A28" s="86" t="s">
        <v>78</v>
      </c>
      <c r="B28" s="86">
        <v>1115262.65929402</v>
      </c>
      <c r="C28" s="86">
        <v>1120</v>
      </c>
      <c r="D28" s="86">
        <v>20</v>
      </c>
      <c r="E28" s="77"/>
      <c r="F28" s="77"/>
      <c r="G28" s="77"/>
      <c r="H28" s="77"/>
      <c r="I28" s="77"/>
      <c r="J28" s="77"/>
      <c r="K28" s="86">
        <v>1120</v>
      </c>
      <c r="L28" s="77">
        <f>_xlfn.NORM.DIST(K28,$E$3,$H$3,FALSE)</f>
        <v>0.00086348213572817</v>
      </c>
      <c r="M28" s="86" t="s">
        <v>78</v>
      </c>
      <c r="N28" s="86">
        <v>1115262.65929402</v>
      </c>
      <c r="O28" s="86">
        <v>1120</v>
      </c>
      <c r="P28" s="86">
        <v>20</v>
      </c>
      <c r="Q28" s="77"/>
      <c r="R28" s="77"/>
      <c r="S28" s="77"/>
      <c r="T28" s="77"/>
      <c r="U28" s="77"/>
      <c r="V28" s="77"/>
      <c r="W28" s="86">
        <v>1120</v>
      </c>
      <c r="X28" s="91">
        <f>_xlfn.NORM.DIST(W28,$Q$3,$T$3,FALSE)</f>
        <v>0.000984639371041038</v>
      </c>
    </row>
    <row r="29" spans="1:24">
      <c r="A29" s="86" t="s">
        <v>79</v>
      </c>
      <c r="B29" s="86">
        <v>1616227.16350169</v>
      </c>
      <c r="C29" s="86">
        <v>1620</v>
      </c>
      <c r="D29" s="86">
        <v>40</v>
      </c>
      <c r="E29" s="77"/>
      <c r="F29" s="77"/>
      <c r="G29" s="77"/>
      <c r="H29" s="77"/>
      <c r="I29" s="77"/>
      <c r="J29" s="77"/>
      <c r="K29" s="86">
        <v>1620</v>
      </c>
      <c r="L29" s="77">
        <f>_xlfn.NORM.DIST(K29,$E$3,$H$3,FALSE)</f>
        <v>0.000535498499487481</v>
      </c>
      <c r="M29" s="86" t="s">
        <v>79</v>
      </c>
      <c r="N29" s="86">
        <v>1616227.16350169</v>
      </c>
      <c r="O29" s="86">
        <v>1620</v>
      </c>
      <c r="P29" s="86">
        <v>40</v>
      </c>
      <c r="Q29" s="77"/>
      <c r="R29" s="77"/>
      <c r="S29" s="77"/>
      <c r="T29" s="77"/>
      <c r="U29" s="77"/>
      <c r="V29" s="77"/>
      <c r="W29" s="86">
        <v>1620</v>
      </c>
      <c r="X29" s="91">
        <f>_xlfn.NORM.DIST(W29,$Q$3,$T$3,FALSE)</f>
        <v>0.000607960497862144</v>
      </c>
    </row>
    <row r="30" spans="1:24">
      <c r="A30" s="86" t="s">
        <v>80</v>
      </c>
      <c r="B30" s="86">
        <v>846457.913541334</v>
      </c>
      <c r="C30" s="86">
        <v>850</v>
      </c>
      <c r="D30" s="86">
        <v>30</v>
      </c>
      <c r="E30" s="77"/>
      <c r="F30" s="77"/>
      <c r="G30" s="77"/>
      <c r="H30" s="77"/>
      <c r="I30" s="77"/>
      <c r="J30" s="77"/>
      <c r="K30" s="86">
        <v>850</v>
      </c>
      <c r="L30" s="77">
        <f>_xlfn.NORM.DIST(K30,$E$3,$H$3,FALSE)</f>
        <v>0.000683063522370942</v>
      </c>
      <c r="M30" s="86" t="s">
        <v>80</v>
      </c>
      <c r="N30" s="86">
        <v>846457.913541334</v>
      </c>
      <c r="O30" s="86">
        <v>850</v>
      </c>
      <c r="P30" s="86">
        <v>30</v>
      </c>
      <c r="Q30" s="77"/>
      <c r="R30" s="77"/>
      <c r="S30" s="77"/>
      <c r="T30" s="77"/>
      <c r="U30" s="77"/>
      <c r="V30" s="77"/>
      <c r="W30" s="86">
        <v>850</v>
      </c>
      <c r="X30" s="91">
        <f>_xlfn.NORM.DIST(W30,$Q$3,$T$3,FALSE)</f>
        <v>0.000648645146027298</v>
      </c>
    </row>
    <row r="31" spans="1:24">
      <c r="A31" s="86" t="s">
        <v>81</v>
      </c>
      <c r="B31" s="86">
        <v>1064684.74298839</v>
      </c>
      <c r="C31" s="86">
        <v>1060</v>
      </c>
      <c r="D31" s="86">
        <v>20</v>
      </c>
      <c r="E31" s="77"/>
      <c r="F31" s="77"/>
      <c r="G31" s="77"/>
      <c r="H31" s="77"/>
      <c r="I31" s="77"/>
      <c r="J31" s="77"/>
      <c r="K31" s="86">
        <v>1060</v>
      </c>
      <c r="L31" s="77">
        <f>_xlfn.NORM.DIST(K31,$E$3,$H$3,FALSE)</f>
        <v>0.000844486732308202</v>
      </c>
      <c r="M31" s="86" t="s">
        <v>81</v>
      </c>
      <c r="N31" s="86">
        <v>1064684.74298839</v>
      </c>
      <c r="O31" s="86">
        <v>1060</v>
      </c>
      <c r="P31" s="86">
        <v>20</v>
      </c>
      <c r="Q31" s="77"/>
      <c r="R31" s="77"/>
      <c r="S31" s="77"/>
      <c r="T31" s="77"/>
      <c r="U31" s="77"/>
      <c r="V31" s="77"/>
      <c r="W31" s="86">
        <v>1060</v>
      </c>
      <c r="X31" s="91">
        <f>_xlfn.NORM.DIST(W31,$Q$3,$T$3,FALSE)</f>
        <v>0.000935048596152644</v>
      </c>
    </row>
    <row r="32" spans="1:24">
      <c r="A32" s="86" t="s">
        <v>82</v>
      </c>
      <c r="B32" s="86">
        <v>912519.225185338</v>
      </c>
      <c r="C32" s="86">
        <v>910</v>
      </c>
      <c r="D32" s="86">
        <v>20</v>
      </c>
      <c r="E32" s="77"/>
      <c r="F32" s="77"/>
      <c r="G32" s="77"/>
      <c r="H32" s="77"/>
      <c r="I32" s="77"/>
      <c r="J32" s="77"/>
      <c r="K32" s="86">
        <v>910</v>
      </c>
      <c r="L32" s="77">
        <f>_xlfn.NORM.DIST(K32,$E$3,$H$3,FALSE)</f>
        <v>0.000741381207183108</v>
      </c>
      <c r="M32" s="86" t="s">
        <v>82</v>
      </c>
      <c r="N32" s="86">
        <v>912519.225185338</v>
      </c>
      <c r="O32" s="86">
        <v>910</v>
      </c>
      <c r="P32" s="86">
        <v>20</v>
      </c>
      <c r="Q32" s="77"/>
      <c r="R32" s="77"/>
      <c r="S32" s="77"/>
      <c r="T32" s="77"/>
      <c r="U32" s="77"/>
      <c r="V32" s="77"/>
      <c r="W32" s="86">
        <v>910</v>
      </c>
      <c r="X32" s="91">
        <f>_xlfn.NORM.DIST(W32,$Q$3,$T$3,FALSE)</f>
        <v>0.000741529807651936</v>
      </c>
    </row>
    <row r="33" spans="1:24">
      <c r="A33" s="86" t="s">
        <v>83</v>
      </c>
      <c r="B33" s="86">
        <v>618542.977619202</v>
      </c>
      <c r="C33" s="86">
        <v>619</v>
      </c>
      <c r="D33" s="86">
        <v>10</v>
      </c>
      <c r="E33" s="77"/>
      <c r="F33" s="77"/>
      <c r="G33" s="77"/>
      <c r="H33" s="77"/>
      <c r="I33" s="77"/>
      <c r="J33" s="77"/>
      <c r="K33" s="86">
        <v>619</v>
      </c>
      <c r="L33" s="77">
        <f>_xlfn.NORM.DIST(K33,$E$3,$H$3,FALSE)</f>
        <v>0.000424947002144581</v>
      </c>
      <c r="M33" s="86" t="s">
        <v>83</v>
      </c>
      <c r="N33" s="86">
        <v>618542.977619202</v>
      </c>
      <c r="O33" s="86">
        <v>619</v>
      </c>
      <c r="P33" s="86">
        <v>10</v>
      </c>
      <c r="Q33" s="77"/>
      <c r="R33" s="77"/>
      <c r="S33" s="77"/>
      <c r="T33" s="77"/>
      <c r="U33" s="77"/>
      <c r="V33" s="77"/>
      <c r="W33" s="86">
        <v>619</v>
      </c>
      <c r="X33" s="91">
        <f>_xlfn.NORM.DIST(W33,$Q$3,$T$3,FALSE)</f>
        <v>0.000311219946567119</v>
      </c>
    </row>
    <row r="34" spans="1:24">
      <c r="A34" s="86" t="s">
        <v>84</v>
      </c>
      <c r="B34" s="86">
        <v>1221841.00439575</v>
      </c>
      <c r="C34" s="86">
        <v>1220</v>
      </c>
      <c r="D34" s="86">
        <v>30</v>
      </c>
      <c r="E34" s="77"/>
      <c r="F34" s="77"/>
      <c r="G34" s="77"/>
      <c r="H34" s="77"/>
      <c r="I34" s="77"/>
      <c r="J34" s="77"/>
      <c r="K34" s="86">
        <v>1220</v>
      </c>
      <c r="L34" s="77">
        <f>_xlfn.NORM.DIST(K34,$E$3,$H$3,FALSE)</f>
        <v>0.000862774142496195</v>
      </c>
      <c r="M34" s="86" t="s">
        <v>84</v>
      </c>
      <c r="N34" s="86">
        <v>1221841.00439575</v>
      </c>
      <c r="O34" s="86">
        <v>1220</v>
      </c>
      <c r="P34" s="86">
        <v>30</v>
      </c>
      <c r="Q34" s="77"/>
      <c r="R34" s="77"/>
      <c r="S34" s="77"/>
      <c r="T34" s="77"/>
      <c r="U34" s="77"/>
      <c r="V34" s="77"/>
      <c r="W34" s="86">
        <v>1220</v>
      </c>
      <c r="X34" s="91">
        <f>_xlfn.NORM.DIST(W34,$Q$3,$T$3,FALSE)</f>
        <v>0.00101865999912404</v>
      </c>
    </row>
    <row r="35" spans="1:24">
      <c r="A35" s="86" t="s">
        <v>85</v>
      </c>
      <c r="B35" s="86">
        <v>946268.471995066</v>
      </c>
      <c r="C35" s="86">
        <v>950</v>
      </c>
      <c r="D35" s="86">
        <v>30</v>
      </c>
      <c r="E35" s="77"/>
      <c r="F35" s="77"/>
      <c r="G35" s="77"/>
      <c r="H35" s="77"/>
      <c r="I35" s="77"/>
      <c r="J35" s="77"/>
      <c r="K35" s="86">
        <v>950</v>
      </c>
      <c r="L35" s="77">
        <f>_xlfn.NORM.DIST(K35,$E$3,$H$3,FALSE)</f>
        <v>0.000775617527420322</v>
      </c>
      <c r="M35" s="86" t="s">
        <v>85</v>
      </c>
      <c r="N35" s="86">
        <v>946268.471995066</v>
      </c>
      <c r="O35" s="86">
        <v>950</v>
      </c>
      <c r="P35" s="86">
        <v>30</v>
      </c>
      <c r="Q35" s="77"/>
      <c r="R35" s="77"/>
      <c r="S35" s="77"/>
      <c r="T35" s="77"/>
      <c r="U35" s="77"/>
      <c r="V35" s="77"/>
      <c r="W35" s="86">
        <v>950</v>
      </c>
      <c r="X35" s="91">
        <f>_xlfn.NORM.DIST(W35,$Q$3,$T$3,FALSE)</f>
        <v>0.000800226627126873</v>
      </c>
    </row>
    <row r="36" spans="1:24">
      <c r="A36" s="86" t="s">
        <v>86</v>
      </c>
      <c r="B36" s="86">
        <v>904372.744543678</v>
      </c>
      <c r="C36" s="86">
        <v>904</v>
      </c>
      <c r="D36" s="86">
        <v>10</v>
      </c>
      <c r="E36" s="77"/>
      <c r="F36" s="77"/>
      <c r="G36" s="77"/>
      <c r="H36" s="77"/>
      <c r="I36" s="77"/>
      <c r="J36" s="77"/>
      <c r="K36" s="86">
        <v>904</v>
      </c>
      <c r="L36" s="77">
        <f>_xlfn.NORM.DIST(K36,$E$3,$H$3,FALSE)</f>
        <v>0.000735896575149635</v>
      </c>
      <c r="M36" s="86" t="s">
        <v>86</v>
      </c>
      <c r="N36" s="86">
        <v>904372.744543678</v>
      </c>
      <c r="O36" s="86">
        <v>904</v>
      </c>
      <c r="P36" s="86">
        <v>10</v>
      </c>
      <c r="Q36" s="77"/>
      <c r="R36" s="77"/>
      <c r="S36" s="77"/>
      <c r="T36" s="77"/>
      <c r="U36" s="77"/>
      <c r="V36" s="77"/>
      <c r="W36" s="86">
        <v>904</v>
      </c>
      <c r="X36" s="91">
        <f>_xlfn.NORM.DIST(W36,$Q$3,$T$3,FALSE)</f>
        <v>0.000732445292032399</v>
      </c>
    </row>
    <row r="37" spans="1:24">
      <c r="A37" s="86" t="s">
        <v>87</v>
      </c>
      <c r="B37" s="86">
        <v>1271133.63354565</v>
      </c>
      <c r="C37" s="86">
        <v>1270</v>
      </c>
      <c r="D37" s="86">
        <v>10</v>
      </c>
      <c r="E37" s="77"/>
      <c r="F37" s="77"/>
      <c r="G37" s="77"/>
      <c r="H37" s="77"/>
      <c r="I37" s="77"/>
      <c r="J37" s="77"/>
      <c r="K37" s="86">
        <v>1270</v>
      </c>
      <c r="L37" s="77">
        <f>_xlfn.NORM.DIST(K37,$E$3,$H$3,FALSE)</f>
        <v>0.000847236642884901</v>
      </c>
      <c r="M37" s="86" t="s">
        <v>87</v>
      </c>
      <c r="N37" s="86">
        <v>1271133.63354565</v>
      </c>
      <c r="O37" s="86">
        <v>1270</v>
      </c>
      <c r="P37" s="86">
        <v>10</v>
      </c>
      <c r="Q37" s="77"/>
      <c r="R37" s="77"/>
      <c r="S37" s="77"/>
      <c r="T37" s="77"/>
      <c r="U37" s="77"/>
      <c r="V37" s="77"/>
      <c r="W37" s="86">
        <v>1270</v>
      </c>
      <c r="X37" s="91">
        <f>_xlfn.NORM.DIST(W37,$Q$3,$T$3,FALSE)</f>
        <v>0.00101108275015372</v>
      </c>
    </row>
    <row r="38" spans="1:24">
      <c r="A38" s="86" t="s">
        <v>88</v>
      </c>
      <c r="B38" s="86">
        <v>1857351.11604715</v>
      </c>
      <c r="C38" s="86">
        <v>1860</v>
      </c>
      <c r="D38" s="86">
        <v>20</v>
      </c>
      <c r="E38" s="77"/>
      <c r="F38" s="77"/>
      <c r="G38" s="77"/>
      <c r="H38" s="77"/>
      <c r="I38" s="77"/>
      <c r="J38" s="77"/>
      <c r="K38" s="86">
        <v>1860</v>
      </c>
      <c r="L38" s="77">
        <f>_xlfn.NORM.DIST(K38,$E$3,$H$3,FALSE)</f>
        <v>0.000279567480301669</v>
      </c>
      <c r="M38" s="86" t="s">
        <v>88</v>
      </c>
      <c r="N38" s="86">
        <v>1857351.11604715</v>
      </c>
      <c r="O38" s="86">
        <v>1860</v>
      </c>
      <c r="P38" s="86">
        <v>20</v>
      </c>
      <c r="Q38" s="77"/>
      <c r="R38" s="77"/>
      <c r="S38" s="77"/>
      <c r="T38" s="77"/>
      <c r="U38" s="77"/>
      <c r="V38" s="77"/>
      <c r="W38" s="86">
        <v>1860</v>
      </c>
      <c r="X38" s="91">
        <f>_xlfn.NORM.DIST(W38,$Q$3,$T$3,FALSE)</f>
        <v>0.000270342624381829</v>
      </c>
    </row>
    <row r="39" spans="1:24">
      <c r="A39" s="86" t="s">
        <v>89</v>
      </c>
      <c r="B39" s="86">
        <v>998243.673088948</v>
      </c>
      <c r="C39" s="86">
        <v>998</v>
      </c>
      <c r="D39" s="86">
        <v>10</v>
      </c>
      <c r="E39" s="77"/>
      <c r="F39" s="77"/>
      <c r="G39" s="77"/>
      <c r="H39" s="77"/>
      <c r="I39" s="77"/>
      <c r="J39" s="77"/>
      <c r="K39" s="86">
        <v>998</v>
      </c>
      <c r="L39" s="77">
        <f>_xlfn.NORM.DIST(K39,$E$3,$H$3,FALSE)</f>
        <v>0.000810644026174909</v>
      </c>
      <c r="M39" s="86" t="s">
        <v>89</v>
      </c>
      <c r="N39" s="86">
        <v>998243.673088948</v>
      </c>
      <c r="O39" s="86">
        <v>998</v>
      </c>
      <c r="P39" s="86">
        <v>10</v>
      </c>
      <c r="Q39" s="77"/>
      <c r="R39" s="77"/>
      <c r="S39" s="77"/>
      <c r="T39" s="77"/>
      <c r="U39" s="77"/>
      <c r="V39" s="77"/>
      <c r="W39" s="86">
        <v>998</v>
      </c>
      <c r="X39" s="91">
        <f>_xlfn.NORM.DIST(W39,$Q$3,$T$3,FALSE)</f>
        <v>0.00086483623276469</v>
      </c>
    </row>
    <row r="40" spans="1:24">
      <c r="A40" s="86" t="s">
        <v>90</v>
      </c>
      <c r="B40" s="86">
        <v>1638647.7466947</v>
      </c>
      <c r="C40" s="86">
        <v>1640</v>
      </c>
      <c r="D40" s="86">
        <v>40</v>
      </c>
      <c r="E40" s="77"/>
      <c r="F40" s="77"/>
      <c r="G40" s="77"/>
      <c r="H40" s="77"/>
      <c r="I40" s="77"/>
      <c r="J40" s="77"/>
      <c r="K40" s="86">
        <v>1640</v>
      </c>
      <c r="L40" s="77">
        <f>_xlfn.NORM.DIST(K40,$E$3,$H$3,FALSE)</f>
        <v>0.000512579615047531</v>
      </c>
      <c r="M40" s="86" t="s">
        <v>90</v>
      </c>
      <c r="N40" s="86">
        <v>1638647.7466947</v>
      </c>
      <c r="O40" s="86">
        <v>1640</v>
      </c>
      <c r="P40" s="86">
        <v>40</v>
      </c>
      <c r="Q40" s="77"/>
      <c r="R40" s="77"/>
      <c r="S40" s="77"/>
      <c r="T40" s="77"/>
      <c r="U40" s="77"/>
      <c r="V40" s="77"/>
      <c r="W40" s="86">
        <v>1640</v>
      </c>
      <c r="X40" s="91">
        <f>_xlfn.NORM.DIST(W40,$Q$3,$T$3,FALSE)</f>
        <v>0.000576467541149608</v>
      </c>
    </row>
    <row r="41" spans="1:24">
      <c r="A41" s="86" t="s">
        <v>91</v>
      </c>
      <c r="B41" s="86">
        <v>1469012.38253441</v>
      </c>
      <c r="C41" s="86">
        <v>1470</v>
      </c>
      <c r="D41" s="86">
        <v>10</v>
      </c>
      <c r="E41" s="77"/>
      <c r="F41" s="77"/>
      <c r="G41" s="77"/>
      <c r="H41" s="77"/>
      <c r="I41" s="77"/>
      <c r="J41" s="77"/>
      <c r="K41" s="86">
        <v>1470</v>
      </c>
      <c r="L41" s="77">
        <f>_xlfn.NORM.DIST(K41,$E$3,$H$3,FALSE)</f>
        <v>0.000699852778547557</v>
      </c>
      <c r="M41" s="86" t="s">
        <v>91</v>
      </c>
      <c r="N41" s="86">
        <v>1469012.38253441</v>
      </c>
      <c r="O41" s="86">
        <v>1470</v>
      </c>
      <c r="P41" s="86">
        <v>10</v>
      </c>
      <c r="Q41" s="77"/>
      <c r="R41" s="77"/>
      <c r="S41" s="77"/>
      <c r="T41" s="77"/>
      <c r="U41" s="77"/>
      <c r="V41" s="77"/>
      <c r="W41" s="86">
        <v>1470</v>
      </c>
      <c r="X41" s="91">
        <f>_xlfn.NORM.DIST(W41,$Q$3,$T$3,FALSE)</f>
        <v>0.00083373103289965</v>
      </c>
    </row>
    <row r="42" spans="1:24">
      <c r="A42" s="86" t="s">
        <v>92</v>
      </c>
      <c r="B42" s="86">
        <v>1257490.95520355</v>
      </c>
      <c r="C42" s="86">
        <v>1257</v>
      </c>
      <c r="D42" s="86">
        <v>10</v>
      </c>
      <c r="E42" s="77"/>
      <c r="F42" s="77"/>
      <c r="G42" s="77"/>
      <c r="H42" s="77"/>
      <c r="I42" s="77"/>
      <c r="J42" s="77"/>
      <c r="K42" s="86">
        <v>1257</v>
      </c>
      <c r="L42" s="77">
        <f>_xlfn.NORM.DIST(K42,$E$3,$H$3,FALSE)</f>
        <v>0.000852219552624578</v>
      </c>
      <c r="M42" s="86" t="s">
        <v>92</v>
      </c>
      <c r="N42" s="86">
        <v>1257490.95520355</v>
      </c>
      <c r="O42" s="86">
        <v>1257</v>
      </c>
      <c r="P42" s="86">
        <v>10</v>
      </c>
      <c r="Q42" s="77"/>
      <c r="R42" s="77"/>
      <c r="S42" s="77"/>
      <c r="T42" s="77"/>
      <c r="U42" s="77"/>
      <c r="V42" s="77"/>
      <c r="W42" s="86">
        <v>1257</v>
      </c>
      <c r="X42" s="91">
        <f>_xlfn.NORM.DIST(W42,$Q$3,$T$3,FALSE)</f>
        <v>0.00101463717281029</v>
      </c>
    </row>
    <row r="43" spans="1:24">
      <c r="A43" s="86" t="s">
        <v>93</v>
      </c>
      <c r="B43" s="77">
        <v>1500402.32127289</v>
      </c>
      <c r="C43" s="86">
        <v>1500</v>
      </c>
      <c r="D43" s="77">
        <v>40</v>
      </c>
      <c r="E43" s="77"/>
      <c r="F43" s="77"/>
      <c r="G43" s="77"/>
      <c r="H43" s="77"/>
      <c r="I43" s="77"/>
      <c r="J43" s="77"/>
      <c r="K43" s="86">
        <v>1500</v>
      </c>
      <c r="L43" s="77">
        <f>_xlfn.NORM.DIST(K43,$E$3,$H$3,FALSE)</f>
        <v>0.000669051971994722</v>
      </c>
      <c r="M43" s="86" t="s">
        <v>93</v>
      </c>
      <c r="N43" s="77">
        <v>1500402.32127289</v>
      </c>
      <c r="O43" s="86">
        <v>1500</v>
      </c>
      <c r="P43" s="77">
        <v>40</v>
      </c>
      <c r="Q43" s="77"/>
      <c r="R43" s="77"/>
      <c r="S43" s="77"/>
      <c r="T43" s="77"/>
      <c r="U43" s="77"/>
      <c r="V43" s="77"/>
      <c r="W43" s="86">
        <v>1500</v>
      </c>
      <c r="X43" s="91">
        <f>_xlfn.NORM.DIST(W43,$Q$3,$T$3,FALSE)</f>
        <v>0.000791940883956639</v>
      </c>
    </row>
  </sheetData>
  <mergeCells count="2">
    <mergeCell ref="A1:L1"/>
    <mergeCell ref="M1:X1"/>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
  <sheetViews>
    <sheetView workbookViewId="0">
      <selection activeCell="E3" sqref="E3:J3"/>
    </sheetView>
  </sheetViews>
  <sheetFormatPr defaultColWidth="8.88888888888889" defaultRowHeight="13.8" outlineLevelRow="5"/>
  <cols>
    <col min="1" max="1" width="8.88888888888889" style="71"/>
    <col min="2" max="2" width="12.8888888888889" style="71"/>
    <col min="3" max="3" width="24.3333333333333" style="71" customWidth="1"/>
    <col min="4" max="4" width="12.4444444444444" style="71" customWidth="1"/>
    <col min="5" max="5" width="12.6666666666667" style="71" customWidth="1"/>
    <col min="6" max="6" width="13.4444444444444" style="71" customWidth="1"/>
    <col min="7" max="7" width="12.7777777777778" style="71" customWidth="1"/>
    <col min="8" max="8" width="10.5555555555556" style="71" customWidth="1"/>
    <col min="9" max="11" width="8.88888888888889" style="71"/>
    <col min="12" max="12" width="12.8888888888889" style="71"/>
    <col min="13" max="16384" width="8.88888888888889" style="71"/>
  </cols>
  <sheetData>
    <row r="1" spans="1:12">
      <c r="A1" s="72" t="s">
        <v>94</v>
      </c>
      <c r="B1" s="72"/>
      <c r="C1" s="72"/>
      <c r="D1" s="72"/>
      <c r="E1" s="72"/>
      <c r="F1" s="72"/>
      <c r="G1" s="72"/>
      <c r="H1" s="72"/>
      <c r="I1" s="72"/>
      <c r="J1" s="72"/>
      <c r="K1" s="72"/>
      <c r="L1" s="72"/>
    </row>
    <row r="2" spans="1:14">
      <c r="A2" s="73" t="s">
        <v>2</v>
      </c>
      <c r="B2" s="73" t="s">
        <v>3</v>
      </c>
      <c r="C2" s="74" t="s">
        <v>4</v>
      </c>
      <c r="D2" s="74" t="s">
        <v>5</v>
      </c>
      <c r="E2" s="74" t="s">
        <v>6</v>
      </c>
      <c r="F2" s="74" t="s">
        <v>7</v>
      </c>
      <c r="G2" s="74" t="s">
        <v>8</v>
      </c>
      <c r="H2" s="74" t="s">
        <v>9</v>
      </c>
      <c r="I2" s="74" t="s">
        <v>10</v>
      </c>
      <c r="J2" s="74" t="s">
        <v>11</v>
      </c>
      <c r="K2" s="74" t="s">
        <v>4</v>
      </c>
      <c r="L2" s="74" t="s">
        <v>95</v>
      </c>
      <c r="M2" s="83"/>
      <c r="N2" s="83"/>
    </row>
    <row r="3" spans="1:23">
      <c r="A3" s="73" t="s">
        <v>96</v>
      </c>
      <c r="B3" s="75">
        <v>2420103.88244979</v>
      </c>
      <c r="C3" s="76">
        <v>2420</v>
      </c>
      <c r="D3" s="74">
        <v>20</v>
      </c>
      <c r="E3" s="74">
        <f>AVERAGE(C3:C6)</f>
        <v>2530</v>
      </c>
      <c r="F3" s="77" t="s">
        <v>97</v>
      </c>
      <c r="G3" s="74">
        <f>MEDIAN(C3:C6)</f>
        <v>2480</v>
      </c>
      <c r="H3" s="74">
        <f>_xlfn.STDEV.S(C3:C6)</f>
        <v>248.596057893121</v>
      </c>
      <c r="I3" s="74">
        <f>(H3)/4^(1/2)</f>
        <v>124.298028946561</v>
      </c>
      <c r="J3" s="74">
        <f>1.96*(I3)</f>
        <v>243.624136735259</v>
      </c>
      <c r="K3" s="76">
        <v>2420</v>
      </c>
      <c r="L3" s="74">
        <f>_xlfn.NORM.DIST(K3,$E$3,$H$3,FALSE)</f>
        <v>0.00145512380147057</v>
      </c>
      <c r="M3" s="83"/>
      <c r="N3" s="84"/>
      <c r="O3" s="85"/>
      <c r="W3" s="85"/>
    </row>
    <row r="4" spans="1:23">
      <c r="A4" s="73" t="s">
        <v>98</v>
      </c>
      <c r="B4" s="75">
        <v>2542804.50153272</v>
      </c>
      <c r="C4" s="76">
        <v>2540</v>
      </c>
      <c r="D4" s="74">
        <v>30</v>
      </c>
      <c r="E4" s="74"/>
      <c r="F4" s="74"/>
      <c r="G4" s="74"/>
      <c r="H4" s="74"/>
      <c r="I4" s="74"/>
      <c r="J4" s="74"/>
      <c r="K4" s="76">
        <v>2540</v>
      </c>
      <c r="L4" s="74">
        <f>_xlfn.NORM.DIST(K4,$E$3,$H$3,FALSE)</f>
        <v>0.00160348335962852</v>
      </c>
      <c r="M4" s="83"/>
      <c r="N4" s="84"/>
      <c r="O4" s="85"/>
      <c r="W4" s="83"/>
    </row>
    <row r="5" spans="1:23">
      <c r="A5" s="73" t="s">
        <v>99</v>
      </c>
      <c r="B5" s="75">
        <v>2865537.24937625</v>
      </c>
      <c r="C5" s="76">
        <v>2870</v>
      </c>
      <c r="D5" s="74">
        <v>20</v>
      </c>
      <c r="E5" s="74"/>
      <c r="F5" s="74"/>
      <c r="G5" s="74"/>
      <c r="H5" s="74"/>
      <c r="I5" s="74"/>
      <c r="J5" s="74"/>
      <c r="K5" s="76">
        <v>2870</v>
      </c>
      <c r="L5" s="74">
        <f>_xlfn.NORM.DIST(K5,$E$3,$H$3,FALSE)</f>
        <v>0.000629841135762744</v>
      </c>
      <c r="M5" s="83"/>
      <c r="N5" s="84"/>
      <c r="O5" s="85"/>
      <c r="W5" s="85"/>
    </row>
    <row r="6" spans="1:23">
      <c r="A6" s="73" t="s">
        <v>100</v>
      </c>
      <c r="B6" s="75">
        <v>2285812.59920426</v>
      </c>
      <c r="C6" s="76">
        <v>2290</v>
      </c>
      <c r="D6" s="74">
        <v>20</v>
      </c>
      <c r="E6" s="74"/>
      <c r="F6" s="74"/>
      <c r="G6" s="74"/>
      <c r="H6" s="74"/>
      <c r="I6" s="74"/>
      <c r="J6" s="74"/>
      <c r="K6" s="76">
        <v>2290</v>
      </c>
      <c r="L6" s="74">
        <f>_xlfn.NORM.DIST(K6,$E$3,$H$3,FALSE)</f>
        <v>0.00100699233962145</v>
      </c>
      <c r="M6" s="83"/>
      <c r="N6" s="84"/>
      <c r="O6" s="85"/>
      <c r="W6" s="83"/>
    </row>
  </sheetData>
  <mergeCells count="1">
    <mergeCell ref="A1:L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6"/>
  <sheetViews>
    <sheetView topLeftCell="C1" workbookViewId="0">
      <selection activeCell="Q3" sqref="Q3:V3"/>
    </sheetView>
  </sheetViews>
  <sheetFormatPr defaultColWidth="8.88888888888889" defaultRowHeight="13.8" outlineLevelRow="5"/>
  <cols>
    <col min="1" max="7" width="8.88888888888889" style="71"/>
    <col min="8" max="10" width="12.8888888888889" style="71"/>
    <col min="11" max="11" width="8.88888888888889" style="71"/>
    <col min="12" max="12" width="12.8888888888889" style="71"/>
    <col min="13" max="23" width="8.88888888888889" style="71"/>
    <col min="24" max="24" width="12.8888888888889" style="71"/>
    <col min="25" max="16384" width="8.88888888888889" style="71"/>
  </cols>
  <sheetData>
    <row r="1" spans="1:24">
      <c r="A1" s="72" t="s">
        <v>0</v>
      </c>
      <c r="B1" s="72"/>
      <c r="C1" s="72"/>
      <c r="D1" s="72"/>
      <c r="E1" s="72"/>
      <c r="F1" s="72"/>
      <c r="G1" s="72"/>
      <c r="H1" s="72"/>
      <c r="I1" s="72"/>
      <c r="J1" s="72"/>
      <c r="K1" s="72"/>
      <c r="L1" s="72"/>
      <c r="M1" s="82" t="s">
        <v>1</v>
      </c>
      <c r="N1" s="82"/>
      <c r="O1" s="82"/>
      <c r="P1" s="82"/>
      <c r="Q1" s="82"/>
      <c r="R1" s="82"/>
      <c r="S1" s="82"/>
      <c r="T1" s="82"/>
      <c r="U1" s="82"/>
      <c r="V1" s="82"/>
      <c r="W1" s="82"/>
      <c r="X1" s="82"/>
    </row>
    <row r="2" spans="1:24">
      <c r="A2" s="73" t="s">
        <v>2</v>
      </c>
      <c r="B2" s="73" t="s">
        <v>3</v>
      </c>
      <c r="C2" s="74" t="s">
        <v>4</v>
      </c>
      <c r="D2" s="74" t="s">
        <v>5</v>
      </c>
      <c r="E2" s="74" t="s">
        <v>6</v>
      </c>
      <c r="F2" s="74" t="s">
        <v>7</v>
      </c>
      <c r="G2" s="74" t="s">
        <v>8</v>
      </c>
      <c r="H2" s="74" t="s">
        <v>9</v>
      </c>
      <c r="I2" s="74" t="s">
        <v>10</v>
      </c>
      <c r="J2" s="74" t="s">
        <v>11</v>
      </c>
      <c r="K2" s="74" t="s">
        <v>4</v>
      </c>
      <c r="L2" s="74" t="s">
        <v>95</v>
      </c>
      <c r="M2" s="73" t="s">
        <v>2</v>
      </c>
      <c r="N2" s="73" t="s">
        <v>3</v>
      </c>
      <c r="O2" s="74" t="s">
        <v>4</v>
      </c>
      <c r="P2" s="74" t="s">
        <v>5</v>
      </c>
      <c r="Q2" s="74" t="s">
        <v>6</v>
      </c>
      <c r="R2" s="74" t="s">
        <v>7</v>
      </c>
      <c r="S2" s="74" t="s">
        <v>8</v>
      </c>
      <c r="T2" s="74" t="s">
        <v>9</v>
      </c>
      <c r="U2" s="74" t="s">
        <v>10</v>
      </c>
      <c r="V2" s="74" t="s">
        <v>11</v>
      </c>
      <c r="W2" s="74" t="s">
        <v>4</v>
      </c>
      <c r="X2" s="74" t="s">
        <v>95</v>
      </c>
    </row>
    <row r="3" spans="1:24">
      <c r="A3" s="73" t="s">
        <v>101</v>
      </c>
      <c r="B3" s="75">
        <v>2420103.88244979</v>
      </c>
      <c r="C3" s="76">
        <v>2010</v>
      </c>
      <c r="D3" s="74">
        <v>10</v>
      </c>
      <c r="E3" s="74">
        <f>AVERAGE(C3:C6)</f>
        <v>2226.5</v>
      </c>
      <c r="F3" s="77">
        <f>MODE(C3:C6)</f>
        <v>2010</v>
      </c>
      <c r="G3" s="74">
        <f>MEDIAN(C3:C6)</f>
        <v>2018</v>
      </c>
      <c r="H3" s="74">
        <f>_xlfn.STDEV.S(C3:C6)</f>
        <v>422.400678661071</v>
      </c>
      <c r="I3" s="74">
        <f>(H3)/4^(1/2)</f>
        <v>211.200339330535</v>
      </c>
      <c r="J3" s="74">
        <f>1.96*(I3)</f>
        <v>413.95266508785</v>
      </c>
      <c r="K3" s="76">
        <v>2010</v>
      </c>
      <c r="L3" s="74">
        <f>_xlfn.NORM.DIST(K3,$E$3,$H$3,FALSE)</f>
        <v>0.00082820914705608</v>
      </c>
      <c r="M3" s="73" t="s">
        <v>101</v>
      </c>
      <c r="N3" s="75">
        <v>2420103.88244979</v>
      </c>
      <c r="O3" s="76">
        <v>2010</v>
      </c>
      <c r="P3" s="74">
        <v>10</v>
      </c>
      <c r="Q3" s="74">
        <f>AVERAGE(O3:O6)</f>
        <v>1985.75</v>
      </c>
      <c r="R3" s="77" t="e">
        <f>MODE(O3:O6)</f>
        <v>#N/A</v>
      </c>
      <c r="S3" s="74">
        <f>MEDIAN(O3:O6)</f>
        <v>2018</v>
      </c>
      <c r="T3" s="74">
        <f>_xlfn.STDEV.S(O3:O6)</f>
        <v>85.1914510577988</v>
      </c>
      <c r="U3" s="74">
        <f>(T3)/4^(1/2)</f>
        <v>42.5957255288994</v>
      </c>
      <c r="V3" s="74">
        <f>1.96*(U3)</f>
        <v>83.4876220366428</v>
      </c>
      <c r="W3" s="76">
        <v>2010</v>
      </c>
      <c r="X3" s="74">
        <f>_xlfn.NORM.DIST(W3,$Q$3,$T$3,FALSE)</f>
        <v>0.00449696173409919</v>
      </c>
    </row>
    <row r="4" spans="1:24">
      <c r="A4" s="78" t="s">
        <v>102</v>
      </c>
      <c r="B4" s="79">
        <v>2542804.50153272</v>
      </c>
      <c r="C4" s="80">
        <v>2010</v>
      </c>
      <c r="D4" s="81">
        <v>10</v>
      </c>
      <c r="E4" s="74"/>
      <c r="F4" s="74"/>
      <c r="G4" s="74"/>
      <c r="H4" s="74"/>
      <c r="I4" s="74"/>
      <c r="J4" s="74"/>
      <c r="K4" s="80">
        <v>2010</v>
      </c>
      <c r="L4" s="74">
        <f>_xlfn.NORM.DIST(K4,$E$3,$H$3,FALSE)</f>
        <v>0.00082820914705608</v>
      </c>
      <c r="M4" s="78" t="s">
        <v>102</v>
      </c>
      <c r="N4" s="79">
        <v>2542804.50153272</v>
      </c>
      <c r="O4" s="80">
        <v>2047</v>
      </c>
      <c r="P4" s="81">
        <v>10</v>
      </c>
      <c r="Q4" s="74"/>
      <c r="R4" s="74"/>
      <c r="S4" s="74"/>
      <c r="T4" s="74"/>
      <c r="U4" s="74"/>
      <c r="V4" s="74"/>
      <c r="W4" s="80">
        <v>2047</v>
      </c>
      <c r="X4" s="74">
        <f>_xlfn.NORM.DIST(W4,$Q$3,$T$3,FALSE)</f>
        <v>0.00361632222565268</v>
      </c>
    </row>
    <row r="5" spans="1:24">
      <c r="A5" s="73" t="s">
        <v>103</v>
      </c>
      <c r="B5" s="75">
        <v>2865537.24937625</v>
      </c>
      <c r="C5" s="76">
        <v>2026</v>
      </c>
      <c r="D5" s="74">
        <v>5</v>
      </c>
      <c r="E5" s="74"/>
      <c r="F5" s="74"/>
      <c r="G5" s="74"/>
      <c r="H5" s="74"/>
      <c r="I5" s="74"/>
      <c r="J5" s="74"/>
      <c r="K5" s="76">
        <v>2026</v>
      </c>
      <c r="L5" s="74">
        <f>_xlfn.NORM.DIST(K5,$E$3,$H$3,FALSE)</f>
        <v>0.000843840019671278</v>
      </c>
      <c r="M5" s="73" t="s">
        <v>103</v>
      </c>
      <c r="N5" s="75">
        <v>2865537.24937625</v>
      </c>
      <c r="O5" s="76">
        <v>2026</v>
      </c>
      <c r="P5" s="74">
        <v>5</v>
      </c>
      <c r="Q5" s="74"/>
      <c r="R5" s="74"/>
      <c r="S5" s="74"/>
      <c r="T5" s="74"/>
      <c r="U5" s="74"/>
      <c r="V5" s="74"/>
      <c r="W5" s="76">
        <v>2026</v>
      </c>
      <c r="X5" s="74">
        <f>_xlfn.NORM.DIST(W5,$Q$3,$T$3,FALSE)</f>
        <v>0.00418833781212198</v>
      </c>
    </row>
    <row r="6" spans="1:24">
      <c r="A6" s="73" t="s">
        <v>104</v>
      </c>
      <c r="B6" s="75">
        <v>2285812.59920426</v>
      </c>
      <c r="C6" s="76">
        <v>2860</v>
      </c>
      <c r="D6" s="74">
        <v>10</v>
      </c>
      <c r="E6" s="74"/>
      <c r="F6" s="74"/>
      <c r="G6" s="74"/>
      <c r="H6" s="74"/>
      <c r="I6" s="74"/>
      <c r="J6" s="74"/>
      <c r="K6" s="76">
        <v>2860</v>
      </c>
      <c r="L6" s="74">
        <f>_xlfn.NORM.DIST(K6,$E$3,$H$3,FALSE)</f>
        <v>0.000306732608255567</v>
      </c>
      <c r="M6" s="73" t="s">
        <v>104</v>
      </c>
      <c r="N6" s="75">
        <v>2285812.59920426</v>
      </c>
      <c r="O6" s="76">
        <v>1860</v>
      </c>
      <c r="P6" s="74">
        <v>10</v>
      </c>
      <c r="Q6" s="74"/>
      <c r="R6" s="74"/>
      <c r="S6" s="74"/>
      <c r="T6" s="74"/>
      <c r="U6" s="74"/>
      <c r="V6" s="74"/>
      <c r="W6" s="76">
        <v>1860</v>
      </c>
      <c r="X6" s="74">
        <f>_xlfn.NORM.DIST(W6,$Q$3,$T$3,FALSE)</f>
        <v>0.00157538411776382</v>
      </c>
    </row>
  </sheetData>
  <mergeCells count="2">
    <mergeCell ref="A1:L1"/>
    <mergeCell ref="M1:X1"/>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45"/>
  <sheetViews>
    <sheetView workbookViewId="0">
      <selection activeCell="D1" sqref="D1:D40"/>
    </sheetView>
  </sheetViews>
  <sheetFormatPr defaultColWidth="9" defaultRowHeight="13.8"/>
  <cols>
    <col min="4" max="4" width="9.11111111111111" customWidth="1"/>
    <col min="5" max="5" width="22" customWidth="1"/>
    <col min="6" max="6" width="11.8888888888889" customWidth="1"/>
    <col min="7" max="7" width="16.5555555555556" customWidth="1"/>
    <col min="9" max="9" width="14.6666666666667" customWidth="1"/>
    <col min="10" max="10" width="10.3333333333333" customWidth="1"/>
    <col min="11" max="11" width="13.8888888888889" customWidth="1"/>
  </cols>
  <sheetData>
    <row r="1" spans="1:20">
      <c r="A1">
        <v>920000</v>
      </c>
      <c r="C1" t="s">
        <v>105</v>
      </c>
      <c r="D1">
        <v>920</v>
      </c>
      <c r="E1" s="10" t="s">
        <v>106</v>
      </c>
      <c r="F1" s="10">
        <f>AVERAGE(D1:D41)</f>
        <v>1215.25</v>
      </c>
      <c r="H1" t="s">
        <v>2</v>
      </c>
      <c r="I1" t="s">
        <v>107</v>
      </c>
      <c r="J1" t="s">
        <v>108</v>
      </c>
      <c r="K1" t="s">
        <v>109</v>
      </c>
      <c r="S1" t="s">
        <v>110</v>
      </c>
      <c r="T1">
        <v>113000</v>
      </c>
    </row>
    <row r="2" spans="1:20">
      <c r="A2">
        <v>113000</v>
      </c>
      <c r="D2">
        <v>1130</v>
      </c>
      <c r="E2" s="10" t="s">
        <v>111</v>
      </c>
      <c r="F2" s="10">
        <f>STDEV(D1:D41)</f>
        <v>394.50057684141</v>
      </c>
      <c r="H2">
        <v>1</v>
      </c>
      <c r="I2">
        <v>0</v>
      </c>
      <c r="J2">
        <f>COUNTIF(D1:D41,"&lt;="&amp;I2)</f>
        <v>0</v>
      </c>
      <c r="K2">
        <f>_xlfn.NORM.DIST(I2,F$1,F$2,FALSE)</f>
        <v>8.79586553037535e-6</v>
      </c>
      <c r="T2">
        <v>120000</v>
      </c>
    </row>
    <row r="3" spans="1:20">
      <c r="A3">
        <v>260000</v>
      </c>
      <c r="D3">
        <v>260</v>
      </c>
      <c r="E3" s="69"/>
      <c r="F3" s="69"/>
      <c r="H3">
        <v>2</v>
      </c>
      <c r="I3">
        <f>I2+250</f>
        <v>250</v>
      </c>
      <c r="J3">
        <f>COUNTIF(D1:D41,"&lt;="&amp;I3)-COUNTIF(D1:D41,"&lt;="&amp;I2)</f>
        <v>0</v>
      </c>
      <c r="K3">
        <f t="shared" ref="K3:K41" si="0">_xlfn.NORM.DIST(I3,F$1,F$2,FALSE)</f>
        <v>5.06846551108018e-5</v>
      </c>
      <c r="T3">
        <v>260000</v>
      </c>
    </row>
    <row r="4" spans="1:20">
      <c r="A4">
        <v>1330000</v>
      </c>
      <c r="D4">
        <v>1330</v>
      </c>
      <c r="E4" s="10" t="s">
        <v>112</v>
      </c>
      <c r="F4" s="10">
        <v>11</v>
      </c>
      <c r="H4">
        <v>3</v>
      </c>
      <c r="I4">
        <f t="shared" ref="I4:I41" si="1">I3+250</f>
        <v>500</v>
      </c>
      <c r="J4">
        <f t="shared" ref="J4:J41" si="2">COUNTIF(D2:D42,"&lt;="&amp;I4)-COUNTIF(D2:D42,"&lt;="&amp;I3)</f>
        <v>1</v>
      </c>
      <c r="K4">
        <f t="shared" si="0"/>
        <v>0.00019546335510609</v>
      </c>
      <c r="T4">
        <v>620000</v>
      </c>
    </row>
    <row r="5" spans="1:20">
      <c r="A5">
        <v>1310000</v>
      </c>
      <c r="D5">
        <v>1310</v>
      </c>
      <c r="H5">
        <v>4</v>
      </c>
      <c r="I5">
        <f t="shared" si="1"/>
        <v>750</v>
      </c>
      <c r="J5">
        <f t="shared" si="2"/>
        <v>3</v>
      </c>
      <c r="K5">
        <f t="shared" si="0"/>
        <v>0.000504481380396309</v>
      </c>
      <c r="T5">
        <v>620000</v>
      </c>
    </row>
    <row r="6" spans="1:20">
      <c r="A6">
        <v>1330000</v>
      </c>
      <c r="D6">
        <v>1330</v>
      </c>
      <c r="H6">
        <v>5</v>
      </c>
      <c r="I6">
        <f t="shared" si="1"/>
        <v>1000</v>
      </c>
      <c r="J6">
        <f t="shared" si="2"/>
        <v>8</v>
      </c>
      <c r="K6">
        <f t="shared" si="0"/>
        <v>0.000871396625023757</v>
      </c>
      <c r="T6">
        <v>680000</v>
      </c>
    </row>
    <row r="7" spans="1:20">
      <c r="A7">
        <v>1330000</v>
      </c>
      <c r="D7">
        <v>1330</v>
      </c>
      <c r="H7">
        <v>6</v>
      </c>
      <c r="I7">
        <f t="shared" si="1"/>
        <v>1250</v>
      </c>
      <c r="J7">
        <f t="shared" si="2"/>
        <v>5</v>
      </c>
      <c r="K7">
        <f t="shared" si="0"/>
        <v>0.00100734339810319</v>
      </c>
      <c r="T7">
        <v>830000</v>
      </c>
    </row>
    <row r="8" spans="1:20">
      <c r="A8" s="70">
        <v>1310000</v>
      </c>
      <c r="D8">
        <v>1310</v>
      </c>
      <c r="H8">
        <v>7</v>
      </c>
      <c r="I8">
        <f t="shared" si="1"/>
        <v>1500</v>
      </c>
      <c r="J8">
        <f t="shared" si="2"/>
        <v>12</v>
      </c>
      <c r="K8">
        <f t="shared" si="0"/>
        <v>0.000779345719898086</v>
      </c>
      <c r="T8">
        <v>850000</v>
      </c>
    </row>
    <row r="9" spans="1:20">
      <c r="A9">
        <v>1420000</v>
      </c>
      <c r="D9">
        <v>1420</v>
      </c>
      <c r="H9">
        <v>8</v>
      </c>
      <c r="I9">
        <f t="shared" si="1"/>
        <v>1750</v>
      </c>
      <c r="J9">
        <f t="shared" si="2"/>
        <v>4</v>
      </c>
      <c r="K9">
        <f t="shared" si="0"/>
        <v>0.000403528026943242</v>
      </c>
      <c r="T9">
        <v>900000</v>
      </c>
    </row>
    <row r="10" spans="1:20">
      <c r="A10">
        <v>1340000</v>
      </c>
      <c r="D10">
        <v>1340</v>
      </c>
      <c r="E10" t="s">
        <v>113</v>
      </c>
      <c r="F10">
        <f>MODE(D1:D41)</f>
        <v>1330</v>
      </c>
      <c r="H10">
        <v>9</v>
      </c>
      <c r="I10">
        <f t="shared" si="1"/>
        <v>2000</v>
      </c>
      <c r="J10">
        <f t="shared" si="2"/>
        <v>1</v>
      </c>
      <c r="K10">
        <f t="shared" si="0"/>
        <v>0.000139832522571969</v>
      </c>
      <c r="T10">
        <v>910000</v>
      </c>
    </row>
    <row r="11" spans="1:20">
      <c r="A11">
        <v>1320000</v>
      </c>
      <c r="D11">
        <v>1320</v>
      </c>
      <c r="E11" t="s">
        <v>114</v>
      </c>
      <c r="F11">
        <f>(D20+D21)/2</f>
        <v>1635</v>
      </c>
      <c r="H11">
        <v>10</v>
      </c>
      <c r="I11">
        <f t="shared" si="1"/>
        <v>2250</v>
      </c>
      <c r="J11">
        <f t="shared" si="2"/>
        <v>2</v>
      </c>
      <c r="K11">
        <f t="shared" si="0"/>
        <v>3.24290047243802e-5</v>
      </c>
      <c r="T11">
        <v>920000</v>
      </c>
    </row>
    <row r="12" spans="1:20">
      <c r="A12">
        <v>830000</v>
      </c>
      <c r="D12">
        <v>830</v>
      </c>
      <c r="E12" t="s">
        <v>106</v>
      </c>
      <c r="F12">
        <f>AVERAGE(D1:D41)</f>
        <v>1215.25</v>
      </c>
      <c r="H12">
        <v>11</v>
      </c>
      <c r="I12">
        <f t="shared" si="1"/>
        <v>2500</v>
      </c>
      <c r="J12">
        <f t="shared" si="2"/>
        <v>0</v>
      </c>
      <c r="K12">
        <f t="shared" si="0"/>
        <v>5.03326720520338e-6</v>
      </c>
      <c r="T12">
        <v>940000</v>
      </c>
    </row>
    <row r="13" spans="1:20">
      <c r="A13">
        <v>1260000</v>
      </c>
      <c r="D13">
        <v>1260</v>
      </c>
      <c r="E13" t="s">
        <v>111</v>
      </c>
      <c r="F13">
        <f>STDEV(D1:D41)</f>
        <v>394.50057684141</v>
      </c>
      <c r="H13">
        <v>12</v>
      </c>
      <c r="I13">
        <f t="shared" si="1"/>
        <v>2750</v>
      </c>
      <c r="J13">
        <f t="shared" si="2"/>
        <v>0</v>
      </c>
      <c r="K13">
        <f t="shared" si="0"/>
        <v>5.22826139522533e-7</v>
      </c>
      <c r="T13">
        <v>950000</v>
      </c>
    </row>
    <row r="14" spans="1:20">
      <c r="A14">
        <v>680000</v>
      </c>
      <c r="D14">
        <v>680</v>
      </c>
      <c r="H14">
        <v>13</v>
      </c>
      <c r="I14">
        <f t="shared" si="1"/>
        <v>3000</v>
      </c>
      <c r="J14">
        <f t="shared" si="2"/>
        <v>0</v>
      </c>
      <c r="K14">
        <f t="shared" si="0"/>
        <v>3.63459092418486e-8</v>
      </c>
      <c r="T14">
        <v>950000</v>
      </c>
    </row>
    <row r="15" spans="1:20">
      <c r="A15">
        <v>2130000</v>
      </c>
      <c r="D15">
        <v>2130</v>
      </c>
      <c r="H15">
        <v>14</v>
      </c>
      <c r="I15">
        <f t="shared" si="1"/>
        <v>3250</v>
      </c>
      <c r="J15">
        <f t="shared" si="2"/>
        <v>0</v>
      </c>
      <c r="K15">
        <f t="shared" si="0"/>
        <v>1.69100433931387e-9</v>
      </c>
      <c r="T15">
        <v>1000000</v>
      </c>
    </row>
    <row r="16" spans="1:20">
      <c r="A16">
        <v>1060000</v>
      </c>
      <c r="D16">
        <v>1060</v>
      </c>
      <c r="H16">
        <v>15</v>
      </c>
      <c r="I16">
        <f t="shared" si="1"/>
        <v>3500</v>
      </c>
      <c r="J16">
        <f t="shared" si="2"/>
        <v>0</v>
      </c>
      <c r="K16">
        <f t="shared" si="0"/>
        <v>5.2653209078972e-11</v>
      </c>
      <c r="T16">
        <v>1060000</v>
      </c>
    </row>
    <row r="17" spans="1:20">
      <c r="A17">
        <v>1380000</v>
      </c>
      <c r="D17">
        <v>1380</v>
      </c>
      <c r="H17">
        <v>16</v>
      </c>
      <c r="I17">
        <f t="shared" si="1"/>
        <v>3750</v>
      </c>
      <c r="J17">
        <f t="shared" si="2"/>
        <v>0</v>
      </c>
      <c r="K17">
        <f t="shared" si="0"/>
        <v>1.09722553994474e-12</v>
      </c>
      <c r="T17">
        <v>1060000</v>
      </c>
    </row>
    <row r="18" spans="1:20">
      <c r="A18">
        <v>1510000</v>
      </c>
      <c r="D18">
        <v>1510</v>
      </c>
      <c r="H18">
        <v>17</v>
      </c>
      <c r="I18">
        <f t="shared" si="1"/>
        <v>4000</v>
      </c>
      <c r="J18">
        <f t="shared" si="2"/>
        <v>0</v>
      </c>
      <c r="K18">
        <f t="shared" si="0"/>
        <v>1.53023422039963e-14</v>
      </c>
      <c r="T18">
        <v>1060000</v>
      </c>
    </row>
    <row r="19" spans="1:20">
      <c r="A19">
        <v>950000</v>
      </c>
      <c r="D19">
        <v>950</v>
      </c>
      <c r="H19">
        <v>18</v>
      </c>
      <c r="I19">
        <f t="shared" si="1"/>
        <v>4250</v>
      </c>
      <c r="J19">
        <f t="shared" si="2"/>
        <v>0</v>
      </c>
      <c r="K19">
        <f t="shared" si="0"/>
        <v>1.42827176448004e-16</v>
      </c>
      <c r="T19">
        <v>1120000</v>
      </c>
    </row>
    <row r="20" spans="1:20">
      <c r="A20">
        <v>2210000</v>
      </c>
      <c r="D20">
        <v>2210</v>
      </c>
      <c r="H20">
        <v>19</v>
      </c>
      <c r="I20">
        <f t="shared" si="1"/>
        <v>4500</v>
      </c>
      <c r="J20">
        <f t="shared" si="2"/>
        <v>0</v>
      </c>
      <c r="K20">
        <f t="shared" si="0"/>
        <v>8.92184616771192e-19</v>
      </c>
      <c r="T20">
        <v>1220000</v>
      </c>
    </row>
    <row r="21" spans="1:20">
      <c r="A21">
        <v>1060000</v>
      </c>
      <c r="D21">
        <v>1060</v>
      </c>
      <c r="H21">
        <v>20</v>
      </c>
      <c r="I21">
        <f t="shared" si="1"/>
        <v>4750</v>
      </c>
      <c r="J21">
        <f t="shared" si="2"/>
        <v>0</v>
      </c>
      <c r="K21">
        <f t="shared" si="0"/>
        <v>3.72983439918455e-21</v>
      </c>
      <c r="T21">
        <v>1260000</v>
      </c>
    </row>
    <row r="22" spans="1:20">
      <c r="A22">
        <v>1740000</v>
      </c>
      <c r="D22">
        <v>1740</v>
      </c>
      <c r="H22">
        <v>21</v>
      </c>
      <c r="I22">
        <f t="shared" si="1"/>
        <v>5000</v>
      </c>
      <c r="J22">
        <f t="shared" si="2"/>
        <v>0</v>
      </c>
      <c r="K22">
        <f t="shared" si="0"/>
        <v>1.04355491624049e-23</v>
      </c>
      <c r="T22">
        <v>1260000</v>
      </c>
    </row>
    <row r="23" spans="1:20">
      <c r="A23">
        <v>620000</v>
      </c>
      <c r="D23">
        <v>620</v>
      </c>
      <c r="H23">
        <v>22</v>
      </c>
      <c r="I23">
        <f t="shared" si="1"/>
        <v>5250</v>
      </c>
      <c r="J23">
        <f t="shared" si="2"/>
        <v>0</v>
      </c>
      <c r="K23">
        <f t="shared" si="0"/>
        <v>1.95403350429777e-26</v>
      </c>
      <c r="T23">
        <v>1270000</v>
      </c>
    </row>
    <row r="24" spans="1:20">
      <c r="A24">
        <v>940000</v>
      </c>
      <c r="D24">
        <v>940</v>
      </c>
      <c r="H24">
        <v>23</v>
      </c>
      <c r="I24">
        <f t="shared" si="1"/>
        <v>5500</v>
      </c>
      <c r="J24">
        <f t="shared" si="2"/>
        <v>0</v>
      </c>
      <c r="K24">
        <f t="shared" si="0"/>
        <v>2.4487228998875e-29</v>
      </c>
      <c r="T24">
        <v>1310000</v>
      </c>
    </row>
    <row r="25" spans="1:20">
      <c r="A25">
        <v>1490000</v>
      </c>
      <c r="D25">
        <v>1490</v>
      </c>
      <c r="H25">
        <v>24</v>
      </c>
      <c r="I25">
        <f t="shared" si="1"/>
        <v>5750</v>
      </c>
      <c r="J25">
        <f t="shared" si="2"/>
        <v>0</v>
      </c>
      <c r="K25">
        <f t="shared" si="0"/>
        <v>2.05370574764143e-32</v>
      </c>
      <c r="T25">
        <v>1320000</v>
      </c>
    </row>
    <row r="26" spans="1:20">
      <c r="A26">
        <v>1120000</v>
      </c>
      <c r="D26">
        <v>1120</v>
      </c>
      <c r="H26">
        <v>25</v>
      </c>
      <c r="I26">
        <f t="shared" si="1"/>
        <v>6000</v>
      </c>
      <c r="J26">
        <f t="shared" si="2"/>
        <v>0</v>
      </c>
      <c r="K26">
        <f t="shared" si="0"/>
        <v>1.15273036549265e-35</v>
      </c>
      <c r="T26">
        <v>1330000</v>
      </c>
    </row>
    <row r="27" spans="1:20">
      <c r="A27">
        <v>1620000</v>
      </c>
      <c r="D27">
        <v>1620</v>
      </c>
      <c r="H27">
        <v>26</v>
      </c>
      <c r="I27">
        <f t="shared" si="1"/>
        <v>6250</v>
      </c>
      <c r="J27">
        <f t="shared" si="2"/>
        <v>0</v>
      </c>
      <c r="K27">
        <f t="shared" si="0"/>
        <v>4.33020231438892e-39</v>
      </c>
      <c r="T27">
        <v>1330000</v>
      </c>
    </row>
    <row r="28" spans="1:20">
      <c r="A28">
        <v>850000</v>
      </c>
      <c r="D28">
        <v>850</v>
      </c>
      <c r="H28">
        <v>27</v>
      </c>
      <c r="I28">
        <f t="shared" si="1"/>
        <v>6500</v>
      </c>
      <c r="J28">
        <f t="shared" si="2"/>
        <v>0</v>
      </c>
      <c r="K28">
        <f t="shared" si="0"/>
        <v>1.08862820252357e-42</v>
      </c>
      <c r="T28">
        <v>1330000</v>
      </c>
    </row>
    <row r="29" spans="1:20">
      <c r="A29">
        <v>1060000</v>
      </c>
      <c r="D29">
        <v>1060</v>
      </c>
      <c r="H29">
        <v>28</v>
      </c>
      <c r="I29">
        <f t="shared" si="1"/>
        <v>6750</v>
      </c>
      <c r="J29">
        <f t="shared" si="2"/>
        <v>0</v>
      </c>
      <c r="K29">
        <f t="shared" si="0"/>
        <v>1.83164756816616e-46</v>
      </c>
      <c r="T29">
        <v>1340000</v>
      </c>
    </row>
    <row r="30" spans="1:20">
      <c r="A30">
        <v>910000</v>
      </c>
      <c r="D30">
        <v>910</v>
      </c>
      <c r="H30">
        <v>29</v>
      </c>
      <c r="I30">
        <f t="shared" si="1"/>
        <v>7000</v>
      </c>
      <c r="J30">
        <f t="shared" si="2"/>
        <v>0</v>
      </c>
      <c r="K30">
        <f t="shared" si="0"/>
        <v>2.06250583266108e-50</v>
      </c>
      <c r="T30">
        <v>1380000</v>
      </c>
    </row>
    <row r="31" spans="1:20">
      <c r="A31">
        <v>620000</v>
      </c>
      <c r="D31">
        <v>620</v>
      </c>
      <c r="H31">
        <v>30</v>
      </c>
      <c r="I31">
        <f t="shared" si="1"/>
        <v>7250</v>
      </c>
      <c r="J31">
        <f t="shared" si="2"/>
        <v>0</v>
      </c>
      <c r="K31">
        <f t="shared" si="0"/>
        <v>1.55431628136794e-54</v>
      </c>
      <c r="T31">
        <v>1420000</v>
      </c>
    </row>
    <row r="32" spans="1:20">
      <c r="A32">
        <v>1220000</v>
      </c>
      <c r="D32">
        <v>1220</v>
      </c>
      <c r="H32">
        <v>31</v>
      </c>
      <c r="I32">
        <f t="shared" si="1"/>
        <v>7500</v>
      </c>
      <c r="J32">
        <f t="shared" si="2"/>
        <v>0</v>
      </c>
      <c r="K32">
        <f t="shared" si="0"/>
        <v>7.83925057011583e-59</v>
      </c>
      <c r="T32">
        <v>1470000</v>
      </c>
    </row>
    <row r="33" spans="1:20">
      <c r="A33">
        <v>950000</v>
      </c>
      <c r="D33">
        <v>950</v>
      </c>
      <c r="H33">
        <v>32</v>
      </c>
      <c r="I33">
        <f t="shared" si="1"/>
        <v>7750</v>
      </c>
      <c r="J33">
        <f t="shared" si="2"/>
        <v>0</v>
      </c>
      <c r="K33">
        <f t="shared" si="0"/>
        <v>2.64606577439205e-63</v>
      </c>
      <c r="T33">
        <v>1490000</v>
      </c>
    </row>
    <row r="34" spans="1:20">
      <c r="A34">
        <v>900000</v>
      </c>
      <c r="D34">
        <v>900</v>
      </c>
      <c r="H34">
        <v>33</v>
      </c>
      <c r="I34">
        <f t="shared" si="1"/>
        <v>8000</v>
      </c>
      <c r="J34">
        <f t="shared" si="2"/>
        <v>0</v>
      </c>
      <c r="K34">
        <f t="shared" si="0"/>
        <v>5.97747355972158e-68</v>
      </c>
      <c r="T34">
        <v>1500000</v>
      </c>
    </row>
    <row r="35" spans="1:20">
      <c r="A35">
        <v>1270000</v>
      </c>
      <c r="D35">
        <v>1270</v>
      </c>
      <c r="H35">
        <v>34</v>
      </c>
      <c r="I35">
        <f t="shared" si="1"/>
        <v>8250</v>
      </c>
      <c r="J35">
        <f t="shared" si="2"/>
        <v>0</v>
      </c>
      <c r="K35">
        <f t="shared" si="0"/>
        <v>9.03702807042253e-73</v>
      </c>
      <c r="T35">
        <v>1510000</v>
      </c>
    </row>
    <row r="36" spans="1:20">
      <c r="A36">
        <v>1860000</v>
      </c>
      <c r="D36">
        <v>1860</v>
      </c>
      <c r="H36">
        <v>35</v>
      </c>
      <c r="I36">
        <f t="shared" si="1"/>
        <v>8500</v>
      </c>
      <c r="J36">
        <f t="shared" si="2"/>
        <v>0</v>
      </c>
      <c r="K36">
        <f t="shared" si="0"/>
        <v>9.14375409427272e-78</v>
      </c>
      <c r="T36">
        <v>1620000</v>
      </c>
    </row>
    <row r="37" spans="1:20">
      <c r="A37">
        <v>1000000</v>
      </c>
      <c r="D37">
        <v>1000</v>
      </c>
      <c r="H37">
        <v>36</v>
      </c>
      <c r="I37">
        <f t="shared" si="1"/>
        <v>8750</v>
      </c>
      <c r="J37">
        <f t="shared" si="2"/>
        <v>0</v>
      </c>
      <c r="K37">
        <f t="shared" si="0"/>
        <v>6.19176384267664e-83</v>
      </c>
      <c r="T37">
        <v>1640000</v>
      </c>
    </row>
    <row r="38" spans="1:20">
      <c r="A38">
        <v>1640000</v>
      </c>
      <c r="D38">
        <v>1640</v>
      </c>
      <c r="H38">
        <v>37</v>
      </c>
      <c r="I38">
        <f t="shared" si="1"/>
        <v>9000</v>
      </c>
      <c r="J38">
        <f t="shared" si="2"/>
        <v>0</v>
      </c>
      <c r="K38">
        <f t="shared" si="0"/>
        <v>2.80604847157893e-88</v>
      </c>
      <c r="T38">
        <v>1740000</v>
      </c>
    </row>
    <row r="39" spans="1:20">
      <c r="A39">
        <v>1470000</v>
      </c>
      <c r="D39">
        <v>1470</v>
      </c>
      <c r="H39">
        <v>38</v>
      </c>
      <c r="I39">
        <f t="shared" si="1"/>
        <v>9250</v>
      </c>
      <c r="J39">
        <f t="shared" si="2"/>
        <v>0</v>
      </c>
      <c r="K39">
        <f t="shared" si="0"/>
        <v>8.51073156779721e-94</v>
      </c>
      <c r="T39">
        <v>1860000</v>
      </c>
    </row>
    <row r="40" spans="1:20">
      <c r="A40">
        <v>1260000</v>
      </c>
      <c r="D40">
        <v>1260</v>
      </c>
      <c r="H40">
        <v>39</v>
      </c>
      <c r="I40">
        <f t="shared" si="1"/>
        <v>9500</v>
      </c>
      <c r="J40">
        <f t="shared" si="2"/>
        <v>0</v>
      </c>
      <c r="K40">
        <f t="shared" si="0"/>
        <v>1.72754574496624e-99</v>
      </c>
      <c r="T40">
        <v>2130000</v>
      </c>
    </row>
    <row r="41" spans="1:20">
      <c r="A41">
        <v>1500000</v>
      </c>
      <c r="H41">
        <v>40</v>
      </c>
      <c r="I41">
        <f t="shared" si="1"/>
        <v>9750</v>
      </c>
      <c r="J41">
        <f t="shared" si="2"/>
        <v>0</v>
      </c>
      <c r="K41">
        <f t="shared" si="0"/>
        <v>2.34683825387256e-105</v>
      </c>
      <c r="T41">
        <v>2210000</v>
      </c>
    </row>
    <row r="43" spans="19:20">
      <c r="S43" t="s">
        <v>106</v>
      </c>
      <c r="T43">
        <f>AVERAGE(T1:T41)</f>
        <v>1168365.85365854</v>
      </c>
    </row>
    <row r="44" spans="19:20">
      <c r="S44" t="s">
        <v>113</v>
      </c>
      <c r="T44">
        <f>MODE(T1:T41)</f>
        <v>1060000</v>
      </c>
    </row>
    <row r="45" spans="19:20">
      <c r="S45" t="s">
        <v>114</v>
      </c>
      <c r="T45">
        <v>1260000</v>
      </c>
    </row>
  </sheetData>
  <sortState ref="D1:D41">
    <sortCondition ref="D1:D41"/>
  </sortState>
  <pageMargins left="0.7" right="0.7" top="0.75" bottom="0.75" header="0.3" footer="0.3"/>
  <pageSetup paperSize="9"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45"/>
  <sheetViews>
    <sheetView workbookViewId="0">
      <selection activeCell="D1" sqref="D1:D40"/>
    </sheetView>
  </sheetViews>
  <sheetFormatPr defaultColWidth="9" defaultRowHeight="13.8"/>
  <cols>
    <col min="4" max="4" width="9.11111111111111" customWidth="1"/>
    <col min="5" max="5" width="22" customWidth="1"/>
    <col min="6" max="6" width="11.8888888888889" customWidth="1"/>
    <col min="7" max="7" width="16.5555555555556" customWidth="1"/>
    <col min="9" max="9" width="14.6666666666667" customWidth="1"/>
    <col min="10" max="10" width="10.3333333333333" customWidth="1"/>
    <col min="11" max="11" width="13.8888888888889" customWidth="1"/>
  </cols>
  <sheetData>
    <row r="1" spans="1:20">
      <c r="A1">
        <v>1116</v>
      </c>
      <c r="C1" t="s">
        <v>105</v>
      </c>
      <c r="D1">
        <v>1116</v>
      </c>
      <c r="E1" s="10" t="s">
        <v>106</v>
      </c>
      <c r="F1" s="10">
        <f>AVERAGE(D1:D41)</f>
        <v>1213.675</v>
      </c>
      <c r="H1" t="s">
        <v>2</v>
      </c>
      <c r="I1" t="s">
        <v>107</v>
      </c>
      <c r="J1" t="s">
        <v>108</v>
      </c>
      <c r="K1" t="s">
        <v>109</v>
      </c>
      <c r="S1" t="s">
        <v>110</v>
      </c>
      <c r="T1">
        <v>113000</v>
      </c>
    </row>
    <row r="2" spans="1:20">
      <c r="A2">
        <v>1110</v>
      </c>
      <c r="D2">
        <v>1120</v>
      </c>
      <c r="E2" s="10" t="s">
        <v>111</v>
      </c>
      <c r="F2" s="10">
        <f>STDEV(D1:D41)</f>
        <v>419.594394349151</v>
      </c>
      <c r="H2">
        <v>1</v>
      </c>
      <c r="I2">
        <v>0</v>
      </c>
      <c r="J2">
        <f>COUNTIF(D1:D41,"&lt;="&amp;I2)</f>
        <v>0</v>
      </c>
      <c r="K2">
        <f t="shared" ref="K2:K41" si="0">_xlfn.NORM.DIST(I2,F$1,F$2,FALSE)</f>
        <v>1.44981012467458e-5</v>
      </c>
      <c r="T2">
        <v>120000</v>
      </c>
    </row>
    <row r="3" spans="1:20">
      <c r="A3">
        <v>970</v>
      </c>
      <c r="D3">
        <v>970</v>
      </c>
      <c r="E3" s="69"/>
      <c r="F3" s="69"/>
      <c r="H3">
        <v>2</v>
      </c>
      <c r="I3">
        <f t="shared" ref="I3:I41" si="1">I2+250</f>
        <v>250</v>
      </c>
      <c r="J3">
        <f t="shared" ref="J3:J41" si="2">COUNTIF(D1:D41,"&lt;="&amp;I3)-COUNTIF(D1:D41,"&lt;="&amp;I2)</f>
        <v>1</v>
      </c>
      <c r="K3">
        <f t="shared" si="0"/>
        <v>6.8027281042561e-5</v>
      </c>
      <c r="T3">
        <v>260000</v>
      </c>
    </row>
    <row r="4" spans="1:20">
      <c r="A4">
        <v>2150</v>
      </c>
      <c r="D4">
        <v>2150</v>
      </c>
      <c r="E4" s="10" t="s">
        <v>112</v>
      </c>
      <c r="F4" s="10">
        <v>11</v>
      </c>
      <c r="H4">
        <v>3</v>
      </c>
      <c r="I4">
        <f t="shared" si="1"/>
        <v>500</v>
      </c>
      <c r="J4">
        <f t="shared" si="2"/>
        <v>0</v>
      </c>
      <c r="K4">
        <f t="shared" si="0"/>
        <v>0.000223811958248284</v>
      </c>
      <c r="T4">
        <v>620000</v>
      </c>
    </row>
    <row r="5" spans="1:20">
      <c r="A5">
        <v>680</v>
      </c>
      <c r="D5">
        <v>680</v>
      </c>
      <c r="H5">
        <v>4</v>
      </c>
      <c r="I5">
        <f t="shared" si="1"/>
        <v>750</v>
      </c>
      <c r="J5">
        <f t="shared" si="2"/>
        <v>1</v>
      </c>
      <c r="K5">
        <f t="shared" si="0"/>
        <v>0.000516311323865598</v>
      </c>
      <c r="T5">
        <v>620000</v>
      </c>
    </row>
    <row r="6" spans="1:20">
      <c r="A6">
        <v>1190</v>
      </c>
      <c r="D6">
        <v>1170</v>
      </c>
      <c r="H6">
        <v>5</v>
      </c>
      <c r="I6">
        <f t="shared" si="1"/>
        <v>1000</v>
      </c>
      <c r="J6">
        <f t="shared" si="2"/>
        <v>8</v>
      </c>
      <c r="K6">
        <f t="shared" si="0"/>
        <v>0.000835157147753385</v>
      </c>
      <c r="T6">
        <v>680000</v>
      </c>
    </row>
    <row r="7" spans="1:20">
      <c r="A7">
        <v>1330</v>
      </c>
      <c r="D7">
        <v>1330</v>
      </c>
      <c r="H7">
        <v>6</v>
      </c>
      <c r="I7">
        <f t="shared" si="1"/>
        <v>1250</v>
      </c>
      <c r="J7">
        <f t="shared" si="2"/>
        <v>14</v>
      </c>
      <c r="K7">
        <f t="shared" si="0"/>
        <v>0.000947224546147533</v>
      </c>
      <c r="T7">
        <v>830000</v>
      </c>
    </row>
    <row r="8" spans="1:20">
      <c r="A8">
        <v>1300</v>
      </c>
      <c r="D8">
        <v>1300</v>
      </c>
      <c r="H8">
        <v>7</v>
      </c>
      <c r="I8">
        <f t="shared" si="1"/>
        <v>1500</v>
      </c>
      <c r="J8">
        <f t="shared" si="2"/>
        <v>7</v>
      </c>
      <c r="K8">
        <f t="shared" si="0"/>
        <v>0.000753296369156464</v>
      </c>
      <c r="T8">
        <v>850000</v>
      </c>
    </row>
    <row r="9" spans="1:20">
      <c r="A9">
        <v>820</v>
      </c>
      <c r="D9">
        <v>820</v>
      </c>
      <c r="H9">
        <v>8</v>
      </c>
      <c r="I9">
        <f t="shared" si="1"/>
        <v>1750</v>
      </c>
      <c r="J9">
        <f t="shared" si="2"/>
        <v>1</v>
      </c>
      <c r="K9">
        <f t="shared" si="0"/>
        <v>0.000420055807766303</v>
      </c>
      <c r="T9">
        <v>900000</v>
      </c>
    </row>
    <row r="10" spans="1:20">
      <c r="A10">
        <v>1310</v>
      </c>
      <c r="D10">
        <v>1310</v>
      </c>
      <c r="E10" t="s">
        <v>113</v>
      </c>
      <c r="F10">
        <f>MODE(D1:D41)</f>
        <v>1170</v>
      </c>
      <c r="H10">
        <v>9</v>
      </c>
      <c r="I10">
        <f t="shared" si="1"/>
        <v>2000</v>
      </c>
      <c r="J10">
        <f t="shared" si="2"/>
        <v>2</v>
      </c>
      <c r="K10">
        <f t="shared" si="0"/>
        <v>0.000164239003896731</v>
      </c>
      <c r="T10">
        <v>910000</v>
      </c>
    </row>
    <row r="11" spans="1:20">
      <c r="A11">
        <v>1160</v>
      </c>
      <c r="D11">
        <v>1160</v>
      </c>
      <c r="E11" t="s">
        <v>114</v>
      </c>
      <c r="F11">
        <v>1260000</v>
      </c>
      <c r="H11">
        <v>10</v>
      </c>
      <c r="I11">
        <f t="shared" si="1"/>
        <v>2250</v>
      </c>
      <c r="J11">
        <f t="shared" si="2"/>
        <v>1</v>
      </c>
      <c r="K11">
        <f t="shared" si="0"/>
        <v>4.50270816840009e-5</v>
      </c>
      <c r="T11">
        <v>920000</v>
      </c>
    </row>
    <row r="12" spans="1:20">
      <c r="A12">
        <v>880</v>
      </c>
      <c r="D12">
        <v>880</v>
      </c>
      <c r="E12" t="s">
        <v>106</v>
      </c>
      <c r="F12">
        <f>AVERAGE(D1:D41)</f>
        <v>1213.675</v>
      </c>
      <c r="H12">
        <v>11</v>
      </c>
      <c r="I12">
        <f t="shared" si="1"/>
        <v>2500</v>
      </c>
      <c r="J12">
        <f t="shared" si="2"/>
        <v>1</v>
      </c>
      <c r="K12">
        <f t="shared" si="0"/>
        <v>8.65564601609017e-6</v>
      </c>
      <c r="T12">
        <v>940000</v>
      </c>
    </row>
    <row r="13" spans="1:20">
      <c r="A13">
        <v>1050</v>
      </c>
      <c r="D13">
        <v>1050</v>
      </c>
      <c r="E13" t="s">
        <v>111</v>
      </c>
      <c r="F13">
        <f>STDEV(D1:D41)</f>
        <v>419.594394349151</v>
      </c>
      <c r="H13">
        <v>12</v>
      </c>
      <c r="I13">
        <f t="shared" si="1"/>
        <v>2750</v>
      </c>
      <c r="J13">
        <f t="shared" si="2"/>
        <v>0</v>
      </c>
      <c r="K13">
        <f t="shared" si="0"/>
        <v>1.1666843254668e-6</v>
      </c>
      <c r="T13">
        <v>950000</v>
      </c>
    </row>
    <row r="14" spans="1:20">
      <c r="A14">
        <v>980</v>
      </c>
      <c r="D14">
        <v>980</v>
      </c>
      <c r="H14">
        <v>13</v>
      </c>
      <c r="I14">
        <f t="shared" si="1"/>
        <v>3000</v>
      </c>
      <c r="J14">
        <f t="shared" si="2"/>
        <v>0</v>
      </c>
      <c r="K14">
        <f t="shared" si="0"/>
        <v>1.1026442783697e-7</v>
      </c>
      <c r="T14">
        <v>950000</v>
      </c>
    </row>
    <row r="15" spans="1:20">
      <c r="A15">
        <v>1590</v>
      </c>
      <c r="D15">
        <v>1590</v>
      </c>
      <c r="H15">
        <v>14</v>
      </c>
      <c r="I15">
        <f t="shared" si="1"/>
        <v>3250</v>
      </c>
      <c r="J15">
        <f t="shared" si="2"/>
        <v>0</v>
      </c>
      <c r="K15">
        <f t="shared" si="0"/>
        <v>7.30711062795584e-9</v>
      </c>
      <c r="T15">
        <v>1000000</v>
      </c>
    </row>
    <row r="16" spans="1:20">
      <c r="A16">
        <v>1150</v>
      </c>
      <c r="D16">
        <v>1150</v>
      </c>
      <c r="H16">
        <v>15</v>
      </c>
      <c r="I16">
        <f t="shared" si="1"/>
        <v>3500</v>
      </c>
      <c r="J16">
        <f t="shared" si="2"/>
        <v>0</v>
      </c>
      <c r="K16">
        <f t="shared" si="0"/>
        <v>3.39534669258552e-10</v>
      </c>
      <c r="T16">
        <v>1060000</v>
      </c>
    </row>
    <row r="17" spans="1:20">
      <c r="A17">
        <v>1030</v>
      </c>
      <c r="D17">
        <v>1030</v>
      </c>
      <c r="H17">
        <v>16</v>
      </c>
      <c r="I17">
        <f t="shared" si="1"/>
        <v>3750</v>
      </c>
      <c r="J17">
        <f t="shared" si="2"/>
        <v>0</v>
      </c>
      <c r="K17">
        <f t="shared" si="0"/>
        <v>1.10624356742738e-11</v>
      </c>
      <c r="T17">
        <v>1060000</v>
      </c>
    </row>
    <row r="18" spans="1:20">
      <c r="A18">
        <v>1350</v>
      </c>
      <c r="D18">
        <v>1350</v>
      </c>
      <c r="H18">
        <v>17</v>
      </c>
      <c r="I18">
        <f t="shared" si="1"/>
        <v>4000</v>
      </c>
      <c r="J18">
        <f t="shared" si="2"/>
        <v>0</v>
      </c>
      <c r="K18">
        <f t="shared" si="0"/>
        <v>2.52723472332873e-13</v>
      </c>
      <c r="T18">
        <v>1060000</v>
      </c>
    </row>
    <row r="19" spans="1:20">
      <c r="A19">
        <v>1240</v>
      </c>
      <c r="D19">
        <v>1240</v>
      </c>
      <c r="H19">
        <v>18</v>
      </c>
      <c r="I19">
        <f t="shared" si="1"/>
        <v>4250</v>
      </c>
      <c r="J19">
        <f t="shared" si="2"/>
        <v>0</v>
      </c>
      <c r="K19">
        <f t="shared" si="0"/>
        <v>4.04826180256395e-15</v>
      </c>
      <c r="T19">
        <v>1120000</v>
      </c>
    </row>
    <row r="20" spans="1:20">
      <c r="A20">
        <v>1800</v>
      </c>
      <c r="D20">
        <v>1800</v>
      </c>
      <c r="H20">
        <v>19</v>
      </c>
      <c r="I20">
        <f t="shared" si="1"/>
        <v>4500</v>
      </c>
      <c r="J20">
        <f t="shared" si="2"/>
        <v>0</v>
      </c>
      <c r="K20">
        <f t="shared" si="0"/>
        <v>4.54694593779227e-17</v>
      </c>
      <c r="T20">
        <v>1220000</v>
      </c>
    </row>
    <row r="21" spans="1:20">
      <c r="A21">
        <v>2190</v>
      </c>
      <c r="D21">
        <v>2190</v>
      </c>
      <c r="H21">
        <v>20</v>
      </c>
      <c r="I21">
        <f t="shared" si="1"/>
        <v>4750</v>
      </c>
      <c r="J21">
        <f t="shared" si="2"/>
        <v>0</v>
      </c>
      <c r="K21">
        <f t="shared" si="0"/>
        <v>3.58095760587733e-19</v>
      </c>
      <c r="T21">
        <v>1260000</v>
      </c>
    </row>
    <row r="22" spans="1:20">
      <c r="A22">
        <v>1100</v>
      </c>
      <c r="D22">
        <v>1100</v>
      </c>
      <c r="H22">
        <v>21</v>
      </c>
      <c r="I22">
        <f t="shared" si="1"/>
        <v>5000</v>
      </c>
      <c r="J22">
        <f t="shared" si="2"/>
        <v>0</v>
      </c>
      <c r="K22">
        <f t="shared" si="0"/>
        <v>1.97745567553016e-21</v>
      </c>
      <c r="T22">
        <v>1260000</v>
      </c>
    </row>
    <row r="23" spans="1:20">
      <c r="A23">
        <v>1020</v>
      </c>
      <c r="D23">
        <v>1020</v>
      </c>
      <c r="H23">
        <v>22</v>
      </c>
      <c r="I23">
        <f t="shared" si="1"/>
        <v>5250</v>
      </c>
      <c r="J23">
        <f t="shared" si="2"/>
        <v>0</v>
      </c>
      <c r="K23">
        <f t="shared" si="0"/>
        <v>7.65671575499011e-24</v>
      </c>
      <c r="T23">
        <v>1270000</v>
      </c>
    </row>
    <row r="24" spans="1:20">
      <c r="A24">
        <v>1390</v>
      </c>
      <c r="D24">
        <v>1390</v>
      </c>
      <c r="H24">
        <v>23</v>
      </c>
      <c r="I24">
        <f t="shared" si="1"/>
        <v>5500</v>
      </c>
      <c r="J24">
        <f t="shared" si="2"/>
        <v>0</v>
      </c>
      <c r="K24">
        <f t="shared" si="0"/>
        <v>2.07877019384523e-26</v>
      </c>
      <c r="T24">
        <v>1310000</v>
      </c>
    </row>
    <row r="25" spans="1:20">
      <c r="A25">
        <v>900</v>
      </c>
      <c r="D25">
        <v>900</v>
      </c>
      <c r="H25">
        <v>24</v>
      </c>
      <c r="I25">
        <f t="shared" si="1"/>
        <v>5750</v>
      </c>
      <c r="J25">
        <f t="shared" si="2"/>
        <v>0</v>
      </c>
      <c r="K25">
        <f t="shared" si="0"/>
        <v>3.9572968244495e-29</v>
      </c>
      <c r="T25">
        <v>1320000</v>
      </c>
    </row>
    <row r="26" spans="1:20">
      <c r="A26">
        <v>1020</v>
      </c>
      <c r="D26">
        <v>1020</v>
      </c>
      <c r="H26">
        <v>25</v>
      </c>
      <c r="I26">
        <f t="shared" si="1"/>
        <v>6000</v>
      </c>
      <c r="J26">
        <f t="shared" si="2"/>
        <v>0</v>
      </c>
      <c r="K26">
        <f t="shared" si="0"/>
        <v>5.28225011340168e-32</v>
      </c>
      <c r="T26">
        <v>1330000</v>
      </c>
    </row>
    <row r="27" spans="1:20">
      <c r="A27">
        <v>1203</v>
      </c>
      <c r="D27">
        <v>1203</v>
      </c>
      <c r="H27">
        <v>26</v>
      </c>
      <c r="I27">
        <f t="shared" si="1"/>
        <v>6250</v>
      </c>
      <c r="J27">
        <f t="shared" si="2"/>
        <v>0</v>
      </c>
      <c r="K27">
        <f t="shared" si="0"/>
        <v>4.9438750361431e-35</v>
      </c>
      <c r="T27">
        <v>1330000</v>
      </c>
    </row>
    <row r="28" spans="1:20">
      <c r="A28">
        <v>228</v>
      </c>
      <c r="D28">
        <v>228</v>
      </c>
      <c r="H28">
        <v>27</v>
      </c>
      <c r="I28">
        <f t="shared" si="1"/>
        <v>6500</v>
      </c>
      <c r="J28">
        <f t="shared" si="2"/>
        <v>0</v>
      </c>
      <c r="K28">
        <f t="shared" si="0"/>
        <v>3.24447324788589e-38</v>
      </c>
      <c r="T28">
        <v>1330000</v>
      </c>
    </row>
    <row r="29" spans="1:20">
      <c r="A29">
        <v>1955</v>
      </c>
      <c r="D29">
        <v>1955</v>
      </c>
      <c r="H29">
        <v>28</v>
      </c>
      <c r="I29">
        <f t="shared" si="1"/>
        <v>6750</v>
      </c>
      <c r="J29">
        <f t="shared" si="2"/>
        <v>0</v>
      </c>
      <c r="K29">
        <f t="shared" si="0"/>
        <v>1.49296318802027e-41</v>
      </c>
      <c r="T29">
        <v>1340000</v>
      </c>
    </row>
    <row r="30" spans="1:20">
      <c r="A30">
        <v>1400</v>
      </c>
      <c r="D30">
        <v>1400</v>
      </c>
      <c r="H30">
        <v>29</v>
      </c>
      <c r="I30">
        <f t="shared" si="1"/>
        <v>7000</v>
      </c>
      <c r="J30">
        <f t="shared" si="2"/>
        <v>0</v>
      </c>
      <c r="K30">
        <f t="shared" si="0"/>
        <v>4.81706149381141e-45</v>
      </c>
      <c r="T30">
        <v>1380000</v>
      </c>
    </row>
    <row r="31" spans="1:20">
      <c r="A31">
        <v>1240</v>
      </c>
      <c r="D31">
        <v>1240</v>
      </c>
      <c r="H31">
        <v>30</v>
      </c>
      <c r="I31">
        <f t="shared" si="1"/>
        <v>7250</v>
      </c>
      <c r="J31">
        <f t="shared" si="2"/>
        <v>0</v>
      </c>
      <c r="K31">
        <f t="shared" si="0"/>
        <v>1.08979163647046e-48</v>
      </c>
      <c r="T31">
        <v>1420000</v>
      </c>
    </row>
    <row r="32" spans="1:20">
      <c r="A32">
        <v>1180</v>
      </c>
      <c r="D32">
        <v>1180</v>
      </c>
      <c r="H32">
        <v>31</v>
      </c>
      <c r="I32">
        <f t="shared" si="1"/>
        <v>7500</v>
      </c>
      <c r="J32">
        <f t="shared" si="2"/>
        <v>0</v>
      </c>
      <c r="K32">
        <f t="shared" si="0"/>
        <v>1.72875297253172e-52</v>
      </c>
      <c r="T32">
        <v>1470000</v>
      </c>
    </row>
    <row r="33" spans="1:20">
      <c r="A33">
        <v>780</v>
      </c>
      <c r="D33">
        <v>780</v>
      </c>
      <c r="H33">
        <v>32</v>
      </c>
      <c r="I33">
        <f t="shared" si="1"/>
        <v>7750</v>
      </c>
      <c r="J33">
        <f t="shared" si="2"/>
        <v>0</v>
      </c>
      <c r="K33">
        <f t="shared" si="0"/>
        <v>1.92287298630853e-56</v>
      </c>
      <c r="T33">
        <v>1490000</v>
      </c>
    </row>
    <row r="34" spans="1:20">
      <c r="A34">
        <v>1130</v>
      </c>
      <c r="D34">
        <v>1130</v>
      </c>
      <c r="H34">
        <v>33</v>
      </c>
      <c r="I34">
        <f t="shared" si="1"/>
        <v>8000</v>
      </c>
      <c r="J34">
        <f t="shared" si="2"/>
        <v>0</v>
      </c>
      <c r="K34">
        <f t="shared" si="0"/>
        <v>1.49967256212897e-60</v>
      </c>
      <c r="T34">
        <v>1500000</v>
      </c>
    </row>
    <row r="35" spans="1:20">
      <c r="A35">
        <v>1350</v>
      </c>
      <c r="D35">
        <v>1300</v>
      </c>
      <c r="H35">
        <v>34</v>
      </c>
      <c r="I35">
        <f t="shared" si="1"/>
        <v>8250</v>
      </c>
      <c r="J35">
        <f t="shared" si="2"/>
        <v>0</v>
      </c>
      <c r="K35">
        <f t="shared" si="0"/>
        <v>8.20106931110833e-65</v>
      </c>
      <c r="T35">
        <v>1510000</v>
      </c>
    </row>
    <row r="36" spans="1:20">
      <c r="A36">
        <v>1170</v>
      </c>
      <c r="D36">
        <v>1170</v>
      </c>
      <c r="H36">
        <v>35</v>
      </c>
      <c r="I36">
        <f t="shared" si="1"/>
        <v>8500</v>
      </c>
      <c r="J36">
        <f t="shared" si="2"/>
        <v>0</v>
      </c>
      <c r="K36">
        <f t="shared" si="0"/>
        <v>3.14465284297165e-69</v>
      </c>
      <c r="T36">
        <v>1620000</v>
      </c>
    </row>
    <row r="37" spans="1:20">
      <c r="A37">
        <v>930</v>
      </c>
      <c r="D37">
        <v>930</v>
      </c>
      <c r="H37">
        <v>36</v>
      </c>
      <c r="I37">
        <f t="shared" si="1"/>
        <v>8750</v>
      </c>
      <c r="J37">
        <f t="shared" si="2"/>
        <v>0</v>
      </c>
      <c r="K37">
        <f t="shared" si="0"/>
        <v>8.4547957982939e-74</v>
      </c>
      <c r="T37">
        <v>1640000</v>
      </c>
    </row>
    <row r="38" spans="1:20">
      <c r="A38">
        <v>930</v>
      </c>
      <c r="D38">
        <v>930</v>
      </c>
      <c r="H38">
        <v>37</v>
      </c>
      <c r="I38">
        <f t="shared" si="1"/>
        <v>9000</v>
      </c>
      <c r="J38">
        <f t="shared" si="2"/>
        <v>0</v>
      </c>
      <c r="K38">
        <f t="shared" si="0"/>
        <v>1.593902408437e-78</v>
      </c>
      <c r="T38">
        <v>1740000</v>
      </c>
    </row>
    <row r="39" spans="1:20">
      <c r="A39">
        <v>2430</v>
      </c>
      <c r="D39">
        <v>2430</v>
      </c>
      <c r="H39">
        <v>38</v>
      </c>
      <c r="I39">
        <f t="shared" si="1"/>
        <v>9250</v>
      </c>
      <c r="J39">
        <f t="shared" si="2"/>
        <v>0</v>
      </c>
      <c r="K39">
        <f t="shared" si="0"/>
        <v>2.10692230066178e-83</v>
      </c>
      <c r="T39">
        <v>1860000</v>
      </c>
    </row>
    <row r="40" spans="1:20">
      <c r="A40">
        <v>855</v>
      </c>
      <c r="D40">
        <v>855</v>
      </c>
      <c r="H40">
        <v>39</v>
      </c>
      <c r="I40">
        <f t="shared" si="1"/>
        <v>9500</v>
      </c>
      <c r="J40">
        <f t="shared" si="2"/>
        <v>0</v>
      </c>
      <c r="K40">
        <f t="shared" si="0"/>
        <v>1.95282579077839e-88</v>
      </c>
      <c r="T40">
        <v>2130000</v>
      </c>
    </row>
    <row r="41" spans="8:20">
      <c r="H41">
        <v>40</v>
      </c>
      <c r="I41">
        <f t="shared" si="1"/>
        <v>9750</v>
      </c>
      <c r="J41">
        <f t="shared" si="2"/>
        <v>0</v>
      </c>
      <c r="K41">
        <f t="shared" si="0"/>
        <v>1.26913164598573e-93</v>
      </c>
      <c r="T41">
        <v>2210000</v>
      </c>
    </row>
    <row r="43" spans="19:20">
      <c r="S43" t="s">
        <v>106</v>
      </c>
      <c r="T43">
        <f>AVERAGE(T1:T41)</f>
        <v>1168365.85365854</v>
      </c>
    </row>
    <row r="44" spans="19:20">
      <c r="S44" t="s">
        <v>113</v>
      </c>
      <c r="T44">
        <f>MODE(T1:T41)</f>
        <v>1060000</v>
      </c>
    </row>
    <row r="45" spans="19:20">
      <c r="S45" t="s">
        <v>114</v>
      </c>
      <c r="T45">
        <v>1260000</v>
      </c>
    </row>
  </sheetData>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2"/>
  <sheetViews>
    <sheetView workbookViewId="0">
      <selection activeCell="G11" sqref="G11"/>
    </sheetView>
  </sheetViews>
  <sheetFormatPr defaultColWidth="9" defaultRowHeight="13.8"/>
  <cols>
    <col min="9" max="9" width="9" customWidth="1"/>
    <col min="10" max="10" width="8.66666666666667" customWidth="1"/>
    <col min="11" max="11" width="7.55555555555556" customWidth="1"/>
    <col min="12" max="12" width="7.22222222222222" customWidth="1"/>
    <col min="13" max="13" width="14.5555555555556" customWidth="1"/>
  </cols>
  <sheetData>
    <row r="1" spans="1:2">
      <c r="A1" t="s">
        <v>115</v>
      </c>
      <c r="B1" t="s">
        <v>116</v>
      </c>
    </row>
    <row r="2" spans="1:5">
      <c r="A2" s="66">
        <v>920</v>
      </c>
      <c r="B2">
        <v>1116</v>
      </c>
      <c r="D2" t="s">
        <v>117</v>
      </c>
      <c r="E2" t="s">
        <v>118</v>
      </c>
    </row>
    <row r="3" spans="1:13">
      <c r="A3" s="66">
        <v>1130</v>
      </c>
      <c r="B3">
        <v>1120</v>
      </c>
      <c r="D3">
        <f>_xlfn.STDEV.S(B2:B41)</f>
        <v>419.594394349151</v>
      </c>
      <c r="E3">
        <f>_xlfn.STDEV.S(A2:A41)</f>
        <v>394.050728870125</v>
      </c>
      <c r="I3" s="67" t="s">
        <v>119</v>
      </c>
      <c r="J3" s="68" t="s">
        <v>120</v>
      </c>
      <c r="K3" s="68" t="s">
        <v>111</v>
      </c>
      <c r="L3" s="65" t="s">
        <v>121</v>
      </c>
      <c r="M3" s="65" t="s">
        <v>122</v>
      </c>
    </row>
    <row r="4" spans="1:13">
      <c r="A4" s="66">
        <v>260</v>
      </c>
      <c r="B4">
        <v>970</v>
      </c>
      <c r="D4" t="s">
        <v>123</v>
      </c>
      <c r="E4" t="s">
        <v>123</v>
      </c>
      <c r="I4" s="68" t="s">
        <v>124</v>
      </c>
      <c r="J4" s="68">
        <f>AVERAGE(B2:B41)</f>
        <v>1213.675</v>
      </c>
      <c r="K4" s="68">
        <f>_xlfn.STDEV.S(B2:B41)</f>
        <v>419.594394349151</v>
      </c>
      <c r="L4" s="65">
        <v>40</v>
      </c>
      <c r="M4" s="68">
        <f>ABS((D7-E7)/((D5/D9+E5/E9)^(1/2)))</f>
        <v>0.0930757494227336</v>
      </c>
    </row>
    <row r="5" spans="1:13">
      <c r="A5" s="66">
        <v>1330</v>
      </c>
      <c r="B5">
        <v>2150</v>
      </c>
      <c r="D5">
        <f>D3^2</f>
        <v>176059.455769231</v>
      </c>
      <c r="E5">
        <f>E3^2</f>
        <v>155275.976923077</v>
      </c>
      <c r="I5" s="68" t="s">
        <v>125</v>
      </c>
      <c r="J5" s="68">
        <f>AVERAGE(A2:A42)</f>
        <v>1222.09756097561</v>
      </c>
      <c r="K5" s="68">
        <f>_xlfn.STDEV.S(A2:A41)</f>
        <v>394.050728870125</v>
      </c>
      <c r="L5" s="65">
        <v>40</v>
      </c>
      <c r="M5" s="68"/>
    </row>
    <row r="6" spans="1:5">
      <c r="A6" s="66">
        <v>1310</v>
      </c>
      <c r="B6">
        <v>680</v>
      </c>
      <c r="D6" t="s">
        <v>126</v>
      </c>
      <c r="E6" t="s">
        <v>127</v>
      </c>
    </row>
    <row r="7" spans="1:5">
      <c r="A7" s="66">
        <v>1330</v>
      </c>
      <c r="B7">
        <v>1170</v>
      </c>
      <c r="D7">
        <f>AVERAGE(B2:B41)</f>
        <v>1213.675</v>
      </c>
      <c r="E7">
        <f>AVERAGE(A2:A42)</f>
        <v>1222.09756097561</v>
      </c>
    </row>
    <row r="8" spans="1:5">
      <c r="A8" s="66">
        <v>1330</v>
      </c>
      <c r="B8">
        <v>1330</v>
      </c>
      <c r="D8" t="s">
        <v>128</v>
      </c>
      <c r="E8" t="s">
        <v>129</v>
      </c>
    </row>
    <row r="9" spans="1:5">
      <c r="A9" s="66">
        <v>1310</v>
      </c>
      <c r="B9">
        <v>1300</v>
      </c>
      <c r="D9">
        <v>40</v>
      </c>
      <c r="E9">
        <v>41</v>
      </c>
    </row>
    <row r="10" spans="1:2">
      <c r="A10" s="66">
        <v>1420</v>
      </c>
      <c r="B10">
        <v>820</v>
      </c>
    </row>
    <row r="11" spans="1:2">
      <c r="A11" s="66">
        <v>1340</v>
      </c>
      <c r="B11">
        <v>1310</v>
      </c>
    </row>
    <row r="12" spans="1:2">
      <c r="A12" s="66">
        <v>1320</v>
      </c>
      <c r="B12">
        <v>1160</v>
      </c>
    </row>
    <row r="13" spans="1:2">
      <c r="A13" s="66">
        <v>830</v>
      </c>
      <c r="B13">
        <v>880</v>
      </c>
    </row>
    <row r="14" spans="1:2">
      <c r="A14" s="66">
        <v>1260</v>
      </c>
      <c r="B14">
        <v>1050</v>
      </c>
    </row>
    <row r="15" spans="1:2">
      <c r="A15" s="66">
        <v>683</v>
      </c>
      <c r="B15">
        <v>980</v>
      </c>
    </row>
    <row r="16" spans="1:2">
      <c r="A16" s="66">
        <v>2130</v>
      </c>
      <c r="B16">
        <v>1590</v>
      </c>
    </row>
    <row r="17" spans="1:2">
      <c r="A17" s="66">
        <v>1060</v>
      </c>
      <c r="B17">
        <v>1150</v>
      </c>
    </row>
    <row r="18" spans="1:2">
      <c r="A18" s="66">
        <v>1380</v>
      </c>
      <c r="B18">
        <v>1030</v>
      </c>
    </row>
    <row r="19" spans="1:2">
      <c r="A19" s="66">
        <v>1510</v>
      </c>
      <c r="B19">
        <v>1350</v>
      </c>
    </row>
    <row r="20" spans="1:2">
      <c r="A20" s="66">
        <v>950</v>
      </c>
      <c r="B20">
        <v>1240</v>
      </c>
    </row>
    <row r="21" spans="1:2">
      <c r="A21" s="66">
        <v>2205</v>
      </c>
      <c r="B21">
        <v>1800</v>
      </c>
    </row>
    <row r="22" spans="1:2">
      <c r="A22" s="66">
        <v>1060</v>
      </c>
      <c r="B22">
        <v>2190</v>
      </c>
    </row>
    <row r="23" spans="1:2">
      <c r="A23" s="66">
        <v>1740</v>
      </c>
      <c r="B23">
        <v>1100</v>
      </c>
    </row>
    <row r="24" spans="1:2">
      <c r="A24" s="66">
        <v>620</v>
      </c>
      <c r="B24">
        <v>1020</v>
      </c>
    </row>
    <row r="25" spans="1:2">
      <c r="A25" s="66">
        <v>940</v>
      </c>
      <c r="B25">
        <v>1390</v>
      </c>
    </row>
    <row r="26" spans="1:2">
      <c r="A26" s="66">
        <v>1490</v>
      </c>
      <c r="B26">
        <v>900</v>
      </c>
    </row>
    <row r="27" spans="1:2">
      <c r="A27" s="66">
        <v>1120</v>
      </c>
      <c r="B27">
        <v>1020</v>
      </c>
    </row>
    <row r="28" spans="1:2">
      <c r="A28" s="66">
        <v>1620</v>
      </c>
      <c r="B28">
        <v>1203</v>
      </c>
    </row>
    <row r="29" spans="1:2">
      <c r="A29" s="66">
        <v>850</v>
      </c>
      <c r="B29">
        <v>228</v>
      </c>
    </row>
    <row r="30" spans="1:2">
      <c r="A30" s="66">
        <v>1060</v>
      </c>
      <c r="B30">
        <v>1955</v>
      </c>
    </row>
    <row r="31" spans="1:2">
      <c r="A31" s="66">
        <v>910</v>
      </c>
      <c r="B31">
        <v>1400</v>
      </c>
    </row>
    <row r="32" spans="1:2">
      <c r="A32" s="66">
        <v>619</v>
      </c>
      <c r="B32">
        <v>1240</v>
      </c>
    </row>
    <row r="33" spans="1:2">
      <c r="A33" s="66">
        <v>1220</v>
      </c>
      <c r="B33">
        <v>1180</v>
      </c>
    </row>
    <row r="34" spans="1:2">
      <c r="A34" s="66">
        <v>950</v>
      </c>
      <c r="B34">
        <v>780</v>
      </c>
    </row>
    <row r="35" spans="1:2">
      <c r="A35" s="66">
        <v>904</v>
      </c>
      <c r="B35">
        <v>1130</v>
      </c>
    </row>
    <row r="36" spans="1:2">
      <c r="A36" s="66">
        <v>1270</v>
      </c>
      <c r="B36">
        <v>1300</v>
      </c>
    </row>
    <row r="37" spans="1:2">
      <c r="A37" s="66">
        <v>1860</v>
      </c>
      <c r="B37">
        <v>1170</v>
      </c>
    </row>
    <row r="38" spans="1:2">
      <c r="A38" s="66">
        <v>998</v>
      </c>
      <c r="B38">
        <v>930</v>
      </c>
    </row>
    <row r="39" spans="1:2">
      <c r="A39" s="66">
        <v>1640</v>
      </c>
      <c r="B39">
        <v>930</v>
      </c>
    </row>
    <row r="40" spans="1:2">
      <c r="A40" s="66">
        <v>1470</v>
      </c>
      <c r="B40">
        <v>2430</v>
      </c>
    </row>
    <row r="41" spans="1:2">
      <c r="A41" s="66">
        <v>1257</v>
      </c>
      <c r="B41">
        <v>855</v>
      </c>
    </row>
    <row r="42" spans="1:1">
      <c r="A42" s="66">
        <v>1500</v>
      </c>
    </row>
  </sheetData>
  <mergeCells count="1">
    <mergeCell ref="M4:M5"/>
  </mergeCells>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8"/>
  <sheetViews>
    <sheetView workbookViewId="0">
      <selection activeCell="F15" sqref="F15"/>
    </sheetView>
  </sheetViews>
  <sheetFormatPr defaultColWidth="9" defaultRowHeight="13.8" outlineLevelRow="7"/>
  <sheetData>
    <row r="1" spans="1:6">
      <c r="A1" t="s">
        <v>130</v>
      </c>
      <c r="B1" t="s">
        <v>131</v>
      </c>
      <c r="E1" t="s">
        <v>117</v>
      </c>
      <c r="F1" t="s">
        <v>118</v>
      </c>
    </row>
    <row r="2" spans="1:13">
      <c r="A2">
        <v>2420</v>
      </c>
      <c r="B2">
        <v>2010</v>
      </c>
      <c r="E2">
        <f>_xlfn.STDEV.S(A2:A5)</f>
        <v>248.596057893121</v>
      </c>
      <c r="F2">
        <f>_xlfn.STDEV.S(B2:B5)</f>
        <v>85.1914510577988</v>
      </c>
      <c r="I2" s="67" t="s">
        <v>119</v>
      </c>
      <c r="J2" s="68" t="s">
        <v>120</v>
      </c>
      <c r="K2" s="68" t="s">
        <v>111</v>
      </c>
      <c r="L2" s="65" t="s">
        <v>121</v>
      </c>
      <c r="M2" s="65" t="s">
        <v>122</v>
      </c>
    </row>
    <row r="3" spans="1:13">
      <c r="A3">
        <v>2540</v>
      </c>
      <c r="B3">
        <v>2047</v>
      </c>
      <c r="E3" t="s">
        <v>123</v>
      </c>
      <c r="F3" t="s">
        <v>123</v>
      </c>
      <c r="I3" s="68" t="s">
        <v>124</v>
      </c>
      <c r="J3" s="68">
        <f>AVERAGE(B1:B40)</f>
        <v>1985.75</v>
      </c>
      <c r="K3" s="68">
        <f>_xlfn.STDEV.S(B1:B40)</f>
        <v>85.1914510577988</v>
      </c>
      <c r="L3" s="65">
        <v>4</v>
      </c>
      <c r="M3" s="68">
        <f>ABS((E6-F6)/((E4/E8+F4/F8)^(1/2)))</f>
        <v>4.14212065572381</v>
      </c>
    </row>
    <row r="4" spans="1:13">
      <c r="A4">
        <v>2870</v>
      </c>
      <c r="B4">
        <v>2026</v>
      </c>
      <c r="E4">
        <f>E2^2</f>
        <v>61800</v>
      </c>
      <c r="F4">
        <f>F2^2</f>
        <v>7257.58333333333</v>
      </c>
      <c r="I4" s="68" t="s">
        <v>125</v>
      </c>
      <c r="J4" s="68">
        <f>AVERAGE(A1:A41)</f>
        <v>2530</v>
      </c>
      <c r="K4" s="68">
        <f>_xlfn.STDEV.S(A1:A40)</f>
        <v>248.596057893121</v>
      </c>
      <c r="L4" s="65">
        <v>4</v>
      </c>
      <c r="M4" s="68"/>
    </row>
    <row r="5" spans="1:6">
      <c r="A5">
        <v>2290</v>
      </c>
      <c r="B5">
        <v>1860</v>
      </c>
      <c r="E5" t="s">
        <v>126</v>
      </c>
      <c r="F5" t="s">
        <v>127</v>
      </c>
    </row>
    <row r="6" spans="5:6">
      <c r="E6">
        <f>AVERAGE(A2:A5)</f>
        <v>2530</v>
      </c>
      <c r="F6">
        <f>AVERAGE(B2:B5)</f>
        <v>1985.75</v>
      </c>
    </row>
    <row r="7" spans="5:6">
      <c r="E7" t="s">
        <v>128</v>
      </c>
      <c r="F7" t="s">
        <v>129</v>
      </c>
    </row>
    <row r="8" spans="5:6">
      <c r="E8">
        <v>4</v>
      </c>
      <c r="F8">
        <v>4</v>
      </c>
    </row>
  </sheetData>
  <mergeCells count="1">
    <mergeCell ref="M3:M4"/>
  </mergeCell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2"/>
  <sheetViews>
    <sheetView tabSelected="1" workbookViewId="0">
      <selection activeCell="K26" sqref="K26"/>
    </sheetView>
  </sheetViews>
  <sheetFormatPr defaultColWidth="9" defaultRowHeight="13.8"/>
  <cols>
    <col min="5" max="5" width="11.6666666666667" customWidth="1"/>
    <col min="7" max="7" width="15.8888888888889" customWidth="1"/>
    <col min="8" max="8" width="16.4444444444444" customWidth="1"/>
    <col min="9" max="9" width="24.2222222222222" customWidth="1"/>
    <col min="10" max="10" width="17.6666666666667" customWidth="1"/>
  </cols>
  <sheetData>
    <row r="1" spans="1:10">
      <c r="A1" t="s">
        <v>132</v>
      </c>
      <c r="B1" t="s">
        <v>133</v>
      </c>
      <c r="C1" t="s">
        <v>134</v>
      </c>
      <c r="D1" t="s">
        <v>135</v>
      </c>
      <c r="F1" s="65"/>
      <c r="G1" s="65" t="s">
        <v>136</v>
      </c>
      <c r="H1" s="65" t="s">
        <v>137</v>
      </c>
      <c r="I1" s="65" t="s">
        <v>138</v>
      </c>
      <c r="J1" s="65" t="s">
        <v>139</v>
      </c>
    </row>
    <row r="2" spans="1:10">
      <c r="A2">
        <v>1116</v>
      </c>
      <c r="B2">
        <v>2420</v>
      </c>
      <c r="C2" s="66">
        <v>920</v>
      </c>
      <c r="D2">
        <v>2010</v>
      </c>
      <c r="F2" s="65" t="s">
        <v>124</v>
      </c>
      <c r="G2" s="65">
        <f>_xlfn.STDEV.S(B2:B5)</f>
        <v>248.596057893121</v>
      </c>
      <c r="H2" s="65">
        <f>AVERAGE(B2:B5)</f>
        <v>2530</v>
      </c>
      <c r="I2" s="65">
        <f>AVERAGE(A2:A41)</f>
        <v>1213.675</v>
      </c>
      <c r="J2" s="65">
        <f>(H2-I2)/G2</f>
        <v>5.29503569427448</v>
      </c>
    </row>
    <row r="3" spans="1:10">
      <c r="A3">
        <v>1120</v>
      </c>
      <c r="B3">
        <v>2540</v>
      </c>
      <c r="C3" s="66">
        <v>1130</v>
      </c>
      <c r="D3">
        <v>2047</v>
      </c>
      <c r="F3" s="65" t="s">
        <v>140</v>
      </c>
      <c r="G3" s="65">
        <f>_xlfn.STDEV.S(D2:D5)</f>
        <v>85.1914510577988</v>
      </c>
      <c r="H3" s="65">
        <f>AVERAGE(D2:D5)</f>
        <v>1985.75</v>
      </c>
      <c r="I3" s="65">
        <f>AVERAGE(C2:C41)</f>
        <v>1215.15</v>
      </c>
      <c r="J3" s="65">
        <f>(H3-I3)/G3</f>
        <v>9.04550856255729</v>
      </c>
    </row>
    <row r="4" spans="1:4">
      <c r="A4">
        <v>970</v>
      </c>
      <c r="B4">
        <v>2870</v>
      </c>
      <c r="C4" s="66">
        <v>260</v>
      </c>
      <c r="D4">
        <v>2026</v>
      </c>
    </row>
    <row r="5" spans="1:4">
      <c r="A5">
        <v>2150</v>
      </c>
      <c r="B5">
        <v>2290</v>
      </c>
      <c r="C5" s="66">
        <v>1330</v>
      </c>
      <c r="D5">
        <v>1860</v>
      </c>
    </row>
    <row r="6" spans="1:3">
      <c r="A6">
        <v>680</v>
      </c>
      <c r="C6" s="66">
        <v>1310</v>
      </c>
    </row>
    <row r="7" spans="1:3">
      <c r="A7">
        <v>1170</v>
      </c>
      <c r="C7" s="66">
        <v>1330</v>
      </c>
    </row>
    <row r="8" spans="1:3">
      <c r="A8">
        <v>1330</v>
      </c>
      <c r="C8" s="66">
        <v>1330</v>
      </c>
    </row>
    <row r="9" spans="1:3">
      <c r="A9">
        <v>1300</v>
      </c>
      <c r="C9" s="66">
        <v>1310</v>
      </c>
    </row>
    <row r="10" spans="1:3">
      <c r="A10">
        <v>820</v>
      </c>
      <c r="C10" s="66">
        <v>1420</v>
      </c>
    </row>
    <row r="11" spans="1:3">
      <c r="A11">
        <v>1310</v>
      </c>
      <c r="C11" s="66">
        <v>1340</v>
      </c>
    </row>
    <row r="12" spans="1:3">
      <c r="A12">
        <v>1160</v>
      </c>
      <c r="C12" s="66">
        <v>1320</v>
      </c>
    </row>
    <row r="13" spans="1:3">
      <c r="A13">
        <v>880</v>
      </c>
      <c r="C13" s="66">
        <v>830</v>
      </c>
    </row>
    <row r="14" spans="1:3">
      <c r="A14">
        <v>1050</v>
      </c>
      <c r="C14" s="66">
        <v>1260</v>
      </c>
    </row>
    <row r="15" spans="1:3">
      <c r="A15">
        <v>980</v>
      </c>
      <c r="C15" s="66">
        <v>683</v>
      </c>
    </row>
    <row r="16" spans="1:3">
      <c r="A16">
        <v>1590</v>
      </c>
      <c r="C16" s="66">
        <v>2130</v>
      </c>
    </row>
    <row r="17" spans="1:3">
      <c r="A17">
        <v>1150</v>
      </c>
      <c r="C17" s="66">
        <v>1060</v>
      </c>
    </row>
    <row r="18" spans="1:3">
      <c r="A18">
        <v>1030</v>
      </c>
      <c r="C18" s="66">
        <v>1380</v>
      </c>
    </row>
    <row r="19" spans="1:3">
      <c r="A19">
        <v>1350</v>
      </c>
      <c r="C19" s="66">
        <v>1510</v>
      </c>
    </row>
    <row r="20" spans="1:3">
      <c r="A20">
        <v>1240</v>
      </c>
      <c r="C20" s="66">
        <v>950</v>
      </c>
    </row>
    <row r="21" spans="1:3">
      <c r="A21">
        <v>1800</v>
      </c>
      <c r="C21" s="66">
        <v>2205</v>
      </c>
    </row>
    <row r="22" spans="1:3">
      <c r="A22">
        <v>2190</v>
      </c>
      <c r="C22" s="66">
        <v>1060</v>
      </c>
    </row>
    <row r="23" spans="1:3">
      <c r="A23">
        <v>1100</v>
      </c>
      <c r="C23" s="66">
        <v>1740</v>
      </c>
    </row>
    <row r="24" spans="1:3">
      <c r="A24">
        <v>1020</v>
      </c>
      <c r="C24" s="66">
        <v>620</v>
      </c>
    </row>
    <row r="25" spans="1:3">
      <c r="A25">
        <v>1390</v>
      </c>
      <c r="C25" s="66">
        <v>940</v>
      </c>
    </row>
    <row r="26" spans="1:3">
      <c r="A26">
        <v>900</v>
      </c>
      <c r="C26" s="66">
        <v>1490</v>
      </c>
    </row>
    <row r="27" spans="1:3">
      <c r="A27">
        <v>1020</v>
      </c>
      <c r="C27" s="66">
        <v>1120</v>
      </c>
    </row>
    <row r="28" spans="1:3">
      <c r="A28">
        <v>1203</v>
      </c>
      <c r="C28" s="66">
        <v>1620</v>
      </c>
    </row>
    <row r="29" spans="1:3">
      <c r="A29">
        <v>228</v>
      </c>
      <c r="C29" s="66">
        <v>850</v>
      </c>
    </row>
    <row r="30" spans="1:3">
      <c r="A30">
        <v>1955</v>
      </c>
      <c r="C30" s="66">
        <v>1060</v>
      </c>
    </row>
    <row r="31" spans="1:3">
      <c r="A31">
        <v>1400</v>
      </c>
      <c r="C31" s="66">
        <v>910</v>
      </c>
    </row>
    <row r="32" spans="1:3">
      <c r="A32">
        <v>1240</v>
      </c>
      <c r="C32" s="66">
        <v>619</v>
      </c>
    </row>
    <row r="33" spans="1:3">
      <c r="A33">
        <v>1180</v>
      </c>
      <c r="C33" s="66">
        <v>1220</v>
      </c>
    </row>
    <row r="34" spans="1:3">
      <c r="A34">
        <v>780</v>
      </c>
      <c r="C34" s="66">
        <v>950</v>
      </c>
    </row>
    <row r="35" spans="1:3">
      <c r="A35">
        <v>1130</v>
      </c>
      <c r="C35" s="66">
        <v>904</v>
      </c>
    </row>
    <row r="36" spans="1:3">
      <c r="A36">
        <v>1300</v>
      </c>
      <c r="C36" s="66">
        <v>1270</v>
      </c>
    </row>
    <row r="37" spans="1:3">
      <c r="A37">
        <v>1170</v>
      </c>
      <c r="C37" s="66">
        <v>1860</v>
      </c>
    </row>
    <row r="38" spans="1:3">
      <c r="A38">
        <v>930</v>
      </c>
      <c r="C38" s="66">
        <v>998</v>
      </c>
    </row>
    <row r="39" spans="1:3">
      <c r="A39">
        <v>930</v>
      </c>
      <c r="C39" s="66">
        <v>1640</v>
      </c>
    </row>
    <row r="40" spans="1:3">
      <c r="A40">
        <v>2430</v>
      </c>
      <c r="C40" s="66">
        <v>1470</v>
      </c>
    </row>
    <row r="41" spans="1:3">
      <c r="A41">
        <v>855</v>
      </c>
      <c r="C41" s="66">
        <v>1257</v>
      </c>
    </row>
    <row r="42" spans="3:3">
      <c r="C42" s="66">
        <v>1500</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F26" sqref="F26"/>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24" t="s">
        <v>14</v>
      </c>
    </row>
    <row r="2" ht="14.4" spans="1:2">
      <c r="A2" s="3" t="s">
        <v>142</v>
      </c>
      <c r="B2" s="4"/>
    </row>
    <row r="3" spans="1:3">
      <c r="A3" s="5" t="s">
        <v>143</v>
      </c>
      <c r="B3" s="6">
        <v>13</v>
      </c>
      <c r="C3" s="7" t="s">
        <v>144</v>
      </c>
    </row>
    <row r="4" spans="1:3">
      <c r="A4" s="8" t="s">
        <v>145</v>
      </c>
      <c r="B4" s="9">
        <v>3</v>
      </c>
      <c r="C4" s="10">
        <f>(B3/1000)*(B4/1000)</f>
        <v>3.9e-5</v>
      </c>
    </row>
    <row r="5" spans="1:2">
      <c r="A5" s="11"/>
      <c r="B5" s="11"/>
    </row>
    <row r="6" spans="1:2">
      <c r="A6" s="12" t="s">
        <v>146</v>
      </c>
      <c r="B6" s="12" t="s">
        <v>147</v>
      </c>
    </row>
    <row r="7" spans="1:4">
      <c r="A7" s="13" t="s">
        <v>148</v>
      </c>
      <c r="B7" s="14" t="s">
        <v>149</v>
      </c>
      <c r="C7" s="7" t="s">
        <v>150</v>
      </c>
      <c r="D7" s="7" t="s">
        <v>151</v>
      </c>
    </row>
    <row r="8" spans="1:4">
      <c r="A8" s="15">
        <v>0</v>
      </c>
      <c r="B8" s="15">
        <v>49</v>
      </c>
      <c r="C8" s="10">
        <v>0</v>
      </c>
      <c r="D8" s="10">
        <v>0</v>
      </c>
    </row>
    <row r="9" spans="1:4">
      <c r="A9" s="19">
        <v>204.9</v>
      </c>
      <c r="B9" s="19">
        <v>52</v>
      </c>
      <c r="C9" s="10">
        <f>(B9-B8)/B8</f>
        <v>0.0612244897959184</v>
      </c>
      <c r="D9" s="10">
        <f>(A9*9.8/1000)/(C4)</f>
        <v>51487.6923076923</v>
      </c>
    </row>
    <row r="10" spans="1:4">
      <c r="A10" s="19">
        <v>404.9</v>
      </c>
      <c r="B10" s="19">
        <v>53</v>
      </c>
      <c r="C10" s="10">
        <f>(B10-B8)/B8</f>
        <v>0.0816326530612245</v>
      </c>
      <c r="D10" s="10">
        <f>(A10*9.8/1000)/(C4)</f>
        <v>101744.102564103</v>
      </c>
    </row>
    <row r="11" spans="1:4">
      <c r="A11" s="19">
        <v>504.9</v>
      </c>
      <c r="B11" s="19">
        <v>54</v>
      </c>
      <c r="C11" s="10">
        <f>(B11-B8)/B8</f>
        <v>0.102040816326531</v>
      </c>
      <c r="D11" s="10">
        <f>(A11*9.8/1000)/(C4)</f>
        <v>126872.307692308</v>
      </c>
    </row>
    <row r="12" spans="1:4">
      <c r="A12" s="19">
        <v>604.9</v>
      </c>
      <c r="B12" s="19">
        <v>55</v>
      </c>
      <c r="C12" s="10">
        <f>(B12-B8)/B8</f>
        <v>0.122448979591837</v>
      </c>
      <c r="D12" s="10">
        <f>(A12*9.8/1000)/(C4)</f>
        <v>152000.512820513</v>
      </c>
    </row>
    <row r="13" spans="1:4">
      <c r="A13" s="19">
        <v>704.9</v>
      </c>
      <c r="B13" s="19">
        <v>56</v>
      </c>
      <c r="C13" s="10">
        <f>(B13-B8)/B8</f>
        <v>0.142857142857143</v>
      </c>
      <c r="D13" s="10">
        <f>(A13*9.8/1000)/(C4)</f>
        <v>177128.717948718</v>
      </c>
    </row>
    <row r="14" spans="1:4">
      <c r="A14" s="19">
        <v>804.9</v>
      </c>
      <c r="B14" s="19">
        <v>57</v>
      </c>
      <c r="C14" s="10">
        <f>(B14-B8)/B8</f>
        <v>0.163265306122449</v>
      </c>
      <c r="D14" s="10">
        <f>(A14*9.8/1000)/(C4)</f>
        <v>202256.923076923</v>
      </c>
    </row>
    <row r="15" spans="1:4">
      <c r="A15" s="19">
        <v>904.9</v>
      </c>
      <c r="B15" s="19">
        <v>59</v>
      </c>
      <c r="C15" s="10">
        <f>(B15-B8)/B8</f>
        <v>0.204081632653061</v>
      </c>
      <c r="D15" s="10">
        <f>(A15*9.8/1000)/(C4)</f>
        <v>227385.128205128</v>
      </c>
    </row>
    <row r="16" spans="1:4">
      <c r="A16" s="19">
        <v>1004.9</v>
      </c>
      <c r="B16" s="19">
        <v>60</v>
      </c>
      <c r="C16" s="10">
        <f>(B16-B8)/B8</f>
        <v>0.224489795918367</v>
      </c>
      <c r="D16" s="10">
        <f>(A16*9.8/1000)/(C4)</f>
        <v>252513.333333333</v>
      </c>
    </row>
    <row r="17" spans="1:4">
      <c r="A17" s="20">
        <v>1054.9</v>
      </c>
      <c r="B17" s="20">
        <v>61</v>
      </c>
      <c r="C17" s="16">
        <f>(B17-B8)/B8</f>
        <v>0.244897959183673</v>
      </c>
      <c r="D17" s="16">
        <f>(A17*9.8/1000)/(C4)</f>
        <v>265077.435897436</v>
      </c>
    </row>
    <row r="19" spans="1:3">
      <c r="A19" s="7" t="s">
        <v>152</v>
      </c>
      <c r="B19" s="10" t="s">
        <v>153</v>
      </c>
      <c r="C19" s="7" t="s">
        <v>154</v>
      </c>
    </row>
    <row r="20" spans="1:4">
      <c r="A20" s="7" t="s">
        <v>155</v>
      </c>
      <c r="B20" s="10" t="s">
        <v>156</v>
      </c>
      <c r="C20" s="10">
        <f>SLOPE(D8:D17,C8:C17)</f>
        <v>1116433.35490055</v>
      </c>
      <c r="D20" s="44" t="s">
        <v>157</v>
      </c>
    </row>
    <row r="22" spans="2:3">
      <c r="B22">
        <f>STEYX(D8:D17,C8:C17)</f>
        <v>12769.5271713989</v>
      </c>
      <c r="C22">
        <v>1120000</v>
      </c>
    </row>
    <row r="23" spans="2:3">
      <c r="B23">
        <f>1.96*B22</f>
        <v>25028.2732559419</v>
      </c>
      <c r="C23">
        <v>30000</v>
      </c>
    </row>
  </sheetData>
  <pageMargins left="0.7" right="0.7" top="0.75" bottom="0.75" header="0.3" footer="0.3"/>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D20" sqref="D20"/>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18" t="s">
        <v>18</v>
      </c>
    </row>
    <row r="2" ht="14.4" spans="1:2">
      <c r="A2" s="3" t="s">
        <v>142</v>
      </c>
      <c r="B2" s="4"/>
    </row>
    <row r="3" spans="1:3">
      <c r="A3" s="5" t="s">
        <v>143</v>
      </c>
      <c r="B3" s="6">
        <v>13</v>
      </c>
      <c r="C3" s="7" t="s">
        <v>144</v>
      </c>
    </row>
    <row r="4" spans="1:3">
      <c r="A4" s="8" t="s">
        <v>145</v>
      </c>
      <c r="B4" s="9">
        <v>3</v>
      </c>
      <c r="C4" s="10">
        <f>(B3/1000)*(B4/1000)</f>
        <v>3.9e-5</v>
      </c>
    </row>
    <row r="5" spans="1:2">
      <c r="A5" s="11"/>
      <c r="B5" s="11"/>
    </row>
    <row r="6" spans="1:2">
      <c r="A6" s="12" t="s">
        <v>146</v>
      </c>
      <c r="B6" s="12" t="s">
        <v>147</v>
      </c>
    </row>
    <row r="7" spans="1:4">
      <c r="A7" s="13" t="s">
        <v>148</v>
      </c>
      <c r="B7" s="14" t="s">
        <v>149</v>
      </c>
      <c r="C7" s="7" t="s">
        <v>150</v>
      </c>
      <c r="D7" s="7" t="s">
        <v>151</v>
      </c>
    </row>
    <row r="8" spans="1:4">
      <c r="A8" s="64">
        <v>0</v>
      </c>
      <c r="B8" s="64">
        <v>67.4</v>
      </c>
      <c r="C8" s="19">
        <v>0</v>
      </c>
      <c r="D8" s="10">
        <v>0</v>
      </c>
    </row>
    <row r="9" spans="1:4">
      <c r="A9" s="64">
        <v>15.5</v>
      </c>
      <c r="B9" s="64">
        <v>67.8</v>
      </c>
      <c r="C9" s="19">
        <f>(B9-B8)/B8</f>
        <v>0.00593471810089008</v>
      </c>
      <c r="D9" s="10">
        <f>(A9*9.8/1000)/(C4)</f>
        <v>3894.87179487179</v>
      </c>
    </row>
    <row r="10" spans="1:4">
      <c r="A10" s="64">
        <v>215.5</v>
      </c>
      <c r="B10" s="64">
        <v>71.5</v>
      </c>
      <c r="C10" s="10">
        <f>(B10-B8)/B8</f>
        <v>0.0608308605341245</v>
      </c>
      <c r="D10" s="10">
        <f>(A10*9.8/1000)/(C4)</f>
        <v>54151.282051282</v>
      </c>
    </row>
    <row r="11" spans="1:4">
      <c r="A11" s="64">
        <v>315.5</v>
      </c>
      <c r="B11" s="64">
        <v>72</v>
      </c>
      <c r="C11" s="10">
        <f>(B11-B8)/B8</f>
        <v>0.0682492581602373</v>
      </c>
      <c r="D11" s="10">
        <f>(A11*9.8/1000)/(C4)</f>
        <v>79279.4871794872</v>
      </c>
    </row>
    <row r="12" spans="1:4">
      <c r="A12" s="64">
        <v>515.5</v>
      </c>
      <c r="B12" s="64">
        <v>75.6</v>
      </c>
      <c r="C12" s="10">
        <f>(B12-B8)/B8</f>
        <v>0.121661721068249</v>
      </c>
      <c r="D12" s="10">
        <f>(A12*9.8/1000)/(C4)</f>
        <v>129535.897435897</v>
      </c>
    </row>
    <row r="13" spans="1:4">
      <c r="A13" s="64">
        <v>615.5</v>
      </c>
      <c r="B13" s="64">
        <v>76.9</v>
      </c>
      <c r="C13" s="10">
        <f>(B13-B8)/B8</f>
        <v>0.140949554896142</v>
      </c>
      <c r="D13" s="10">
        <f>(A13*9.8/1000)/(C4)</f>
        <v>154664.102564103</v>
      </c>
    </row>
    <row r="14" spans="1:4">
      <c r="A14" s="64">
        <v>715.5</v>
      </c>
      <c r="B14" s="64">
        <v>78.8</v>
      </c>
      <c r="C14" s="10">
        <f>(B14-B8)/B8</f>
        <v>0.169139465875371</v>
      </c>
      <c r="D14" s="10">
        <f>(A14*9.8/1000)/(C4)</f>
        <v>179792.307692308</v>
      </c>
    </row>
    <row r="15" spans="1:4">
      <c r="A15" s="64">
        <v>815.5</v>
      </c>
      <c r="B15" s="64">
        <v>79.6</v>
      </c>
      <c r="C15" s="10">
        <f>(B15-B8)/B8</f>
        <v>0.181008902077151</v>
      </c>
      <c r="D15" s="10">
        <f>(A15*9.8/1000)/(C4)</f>
        <v>204920.512820513</v>
      </c>
    </row>
    <row r="16" spans="1:4">
      <c r="A16" s="64">
        <v>915.5</v>
      </c>
      <c r="B16" s="64">
        <v>80.7</v>
      </c>
      <c r="C16" s="10">
        <f>(B16-B8)/B8</f>
        <v>0.197329376854599</v>
      </c>
      <c r="D16" s="10">
        <f>(A16*9.8/1000)/(C4)</f>
        <v>230048.717948718</v>
      </c>
    </row>
    <row r="17" spans="1:4">
      <c r="A17" s="64">
        <v>1015.5</v>
      </c>
      <c r="B17" s="64">
        <v>81.8</v>
      </c>
      <c r="C17" s="20">
        <f>(B17-B8)/B8</f>
        <v>0.213649851632047</v>
      </c>
      <c r="D17" s="10">
        <f>(A17*9.8/1000)/(C4)</f>
        <v>255176.923076923</v>
      </c>
    </row>
    <row r="19" spans="1:3">
      <c r="A19" s="7" t="s">
        <v>152</v>
      </c>
      <c r="B19" s="10" t="s">
        <v>153</v>
      </c>
      <c r="C19" s="7" t="s">
        <v>154</v>
      </c>
    </row>
    <row r="20" spans="1:4">
      <c r="A20" s="7" t="s">
        <v>155</v>
      </c>
      <c r="B20" s="10" t="s">
        <v>156</v>
      </c>
      <c r="C20" s="10">
        <f>SLOPE(D8:D17,C8:C17)</f>
        <v>1169983.37863909</v>
      </c>
      <c r="D20" s="44" t="s">
        <v>157</v>
      </c>
    </row>
    <row r="22" spans="2:3">
      <c r="B22">
        <f>STEYX(D8:D17,C8:C17)</f>
        <v>8349.48382209103</v>
      </c>
      <c r="C22">
        <v>1170000</v>
      </c>
    </row>
    <row r="23" spans="2:3">
      <c r="B23">
        <f>1.96*B22</f>
        <v>16364.9882912984</v>
      </c>
      <c r="C23">
        <v>20000</v>
      </c>
    </row>
  </sheetData>
  <pageMargins left="0.7" right="0.7" top="0.75" bottom="0.75" header="0.3" footer="0.3"/>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4"/>
  <sheetViews>
    <sheetView workbookViewId="0">
      <selection activeCell="D21" sqref="D21"/>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24" t="s">
        <v>23</v>
      </c>
    </row>
    <row r="2" ht="14.4" spans="1:2">
      <c r="A2" s="3" t="s">
        <v>142</v>
      </c>
      <c r="B2" s="4"/>
    </row>
    <row r="3" spans="1:3">
      <c r="A3" s="5" t="s">
        <v>143</v>
      </c>
      <c r="B3" s="6">
        <v>13</v>
      </c>
      <c r="C3" s="7" t="s">
        <v>144</v>
      </c>
    </row>
    <row r="4" spans="1:3">
      <c r="A4" s="8" t="s">
        <v>145</v>
      </c>
      <c r="B4" s="9">
        <v>3.5</v>
      </c>
      <c r="C4" s="10">
        <f>(B3/1000)*(B4/1000)</f>
        <v>4.55e-5</v>
      </c>
    </row>
    <row r="5" spans="1:2">
      <c r="A5" s="11"/>
      <c r="B5" s="11"/>
    </row>
    <row r="6" spans="1:2">
      <c r="A6" s="12" t="s">
        <v>146</v>
      </c>
      <c r="B6" s="12" t="s">
        <v>147</v>
      </c>
    </row>
    <row r="7" spans="1:4">
      <c r="A7" s="13" t="s">
        <v>148</v>
      </c>
      <c r="B7" s="14" t="s">
        <v>149</v>
      </c>
      <c r="C7" s="7" t="s">
        <v>150</v>
      </c>
      <c r="D7" s="7" t="s">
        <v>151</v>
      </c>
    </row>
    <row r="8" spans="1:4">
      <c r="A8" s="28">
        <v>0</v>
      </c>
      <c r="B8" s="28">
        <v>72</v>
      </c>
      <c r="C8" s="20">
        <v>0</v>
      </c>
      <c r="D8" s="20">
        <v>0</v>
      </c>
    </row>
    <row r="9" spans="1:4">
      <c r="A9" s="20">
        <v>20</v>
      </c>
      <c r="B9" s="20">
        <v>73</v>
      </c>
      <c r="C9" s="20">
        <f>(B9-B8)/B8</f>
        <v>0.0138888888888889</v>
      </c>
      <c r="D9" s="20">
        <f>(A9*9.8/1000)/(C4)</f>
        <v>4307.69230769231</v>
      </c>
    </row>
    <row r="10" spans="1:4">
      <c r="A10" s="20">
        <v>120</v>
      </c>
      <c r="B10" s="20">
        <v>75</v>
      </c>
      <c r="C10" s="20">
        <f>(B10-B8)/B8</f>
        <v>0.0416666666666667</v>
      </c>
      <c r="D10" s="20">
        <f>(A10*9.8/1000)/(C4)</f>
        <v>25846.1538461538</v>
      </c>
    </row>
    <row r="11" spans="1:4">
      <c r="A11" s="20">
        <v>220</v>
      </c>
      <c r="B11" s="20">
        <v>76</v>
      </c>
      <c r="C11" s="20">
        <f>(B11-B8)/B8</f>
        <v>0.0555555555555556</v>
      </c>
      <c r="D11" s="20">
        <f>(A11*9.8/1000)/(C4)</f>
        <v>47384.6153846154</v>
      </c>
    </row>
    <row r="12" spans="1:4">
      <c r="A12" s="20">
        <v>320</v>
      </c>
      <c r="B12" s="20">
        <v>77</v>
      </c>
      <c r="C12" s="20">
        <f>(B12-B8)/B8</f>
        <v>0.0694444444444444</v>
      </c>
      <c r="D12" s="20">
        <f>(A12*9.8/1000)/(C4)</f>
        <v>68923.0769230769</v>
      </c>
    </row>
    <row r="13" spans="1:4">
      <c r="A13" s="20">
        <v>370</v>
      </c>
      <c r="B13" s="20">
        <v>77.5</v>
      </c>
      <c r="C13" s="20">
        <f>(B13-B8)/B8</f>
        <v>0.0763888888888889</v>
      </c>
      <c r="D13" s="20">
        <f>(A13*9.8/1000)/(C4)</f>
        <v>79692.3076923077</v>
      </c>
    </row>
    <row r="14" spans="1:4">
      <c r="A14" s="20">
        <v>470</v>
      </c>
      <c r="B14" s="20">
        <v>79</v>
      </c>
      <c r="C14" s="20">
        <f>(B14-B8)/B8</f>
        <v>0.0972222222222222</v>
      </c>
      <c r="D14" s="20">
        <f>(A14*9.8/1000)/(C4)</f>
        <v>101230.769230769</v>
      </c>
    </row>
    <row r="15" spans="1:4">
      <c r="A15" s="20">
        <v>520</v>
      </c>
      <c r="B15" s="20">
        <v>79.5</v>
      </c>
      <c r="C15" s="20">
        <f>(B15-B8)/B8</f>
        <v>0.104166666666667</v>
      </c>
      <c r="D15" s="20">
        <f>(A15*9.8/1000)/(C4)</f>
        <v>112000</v>
      </c>
    </row>
    <row r="16" spans="1:4">
      <c r="A16" s="20">
        <v>570</v>
      </c>
      <c r="B16" s="20">
        <v>80</v>
      </c>
      <c r="C16" s="20">
        <f>(B16-B8)/B8</f>
        <v>0.111111111111111</v>
      </c>
      <c r="D16" s="20">
        <f>(A16*9.8/1000)/(C4)</f>
        <v>122769.230769231</v>
      </c>
    </row>
    <row r="17" spans="1:4">
      <c r="A17" s="20">
        <v>620</v>
      </c>
      <c r="B17" s="20">
        <v>81</v>
      </c>
      <c r="C17" s="20">
        <f>(B17-B8)/B8</f>
        <v>0.125</v>
      </c>
      <c r="D17" s="20">
        <f>(A17*9.8/1000)/(C4)</f>
        <v>133538.461538462</v>
      </c>
    </row>
    <row r="18" spans="1:4">
      <c r="A18" s="20">
        <v>670</v>
      </c>
      <c r="B18" s="20">
        <v>81.5</v>
      </c>
      <c r="C18" s="20">
        <f>(B18-B8)/B8</f>
        <v>0.131944444444444</v>
      </c>
      <c r="D18" s="20">
        <f>(A18*9.8/1000)/(C4)</f>
        <v>144307.692307692</v>
      </c>
    </row>
    <row r="20" spans="1:3">
      <c r="A20" s="7" t="s">
        <v>152</v>
      </c>
      <c r="B20" s="10" t="s">
        <v>158</v>
      </c>
      <c r="C20" s="7" t="s">
        <v>154</v>
      </c>
    </row>
    <row r="21" spans="1:4">
      <c r="A21" s="7" t="s">
        <v>155</v>
      </c>
      <c r="B21" s="10" t="s">
        <v>159</v>
      </c>
      <c r="C21" s="10">
        <f>SLOPE(D8:D18,C8:C18)</f>
        <v>1163288.58402744</v>
      </c>
      <c r="D21" t="s">
        <v>160</v>
      </c>
    </row>
    <row r="23" spans="2:3">
      <c r="B23">
        <f>STEYX(D8:D18,C8:C18)</f>
        <v>6040.81507000226</v>
      </c>
      <c r="C23">
        <v>1160000</v>
      </c>
    </row>
    <row r="24" spans="2:3">
      <c r="B24">
        <f>1.96*B23</f>
        <v>11839.9975372044</v>
      </c>
      <c r="C24">
        <v>10000</v>
      </c>
    </row>
  </sheetData>
  <pageMargins left="0.7" right="0.7" top="0.75" bottom="0.75" header="0.3" footer="0.3"/>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4"/>
  <sheetViews>
    <sheetView topLeftCell="A2" workbookViewId="0">
      <selection activeCell="D21" sqref="D21"/>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18" t="s">
        <v>42</v>
      </c>
    </row>
    <row r="2" ht="14.4" spans="1:2">
      <c r="A2" s="3" t="s">
        <v>142</v>
      </c>
      <c r="B2" s="4"/>
    </row>
    <row r="3" spans="1:3">
      <c r="A3" s="5" t="s">
        <v>143</v>
      </c>
      <c r="B3" s="6">
        <v>13</v>
      </c>
      <c r="C3" s="7" t="s">
        <v>144</v>
      </c>
    </row>
    <row r="4" spans="1:3">
      <c r="A4" s="8" t="s">
        <v>145</v>
      </c>
      <c r="B4" s="9">
        <v>3</v>
      </c>
      <c r="C4" s="10">
        <f>(B3/1000)*(B4/1000)</f>
        <v>3.9e-5</v>
      </c>
    </row>
    <row r="5" spans="1:2">
      <c r="A5" s="11"/>
      <c r="B5" s="11"/>
    </row>
    <row r="6" spans="1:2">
      <c r="A6" s="12" t="s">
        <v>146</v>
      </c>
      <c r="B6" s="12" t="s">
        <v>147</v>
      </c>
    </row>
    <row r="7" spans="1:4">
      <c r="A7" s="13" t="s">
        <v>148</v>
      </c>
      <c r="B7" s="14" t="s">
        <v>149</v>
      </c>
      <c r="C7" s="7" t="s">
        <v>150</v>
      </c>
      <c r="D7" s="7" t="s">
        <v>151</v>
      </c>
    </row>
    <row r="8" spans="1:4">
      <c r="A8" s="15">
        <v>0</v>
      </c>
      <c r="B8" s="15">
        <v>53</v>
      </c>
      <c r="C8" s="10">
        <v>0</v>
      </c>
      <c r="D8" s="10">
        <v>0</v>
      </c>
    </row>
    <row r="9" spans="1:4">
      <c r="A9" s="10">
        <v>204.9</v>
      </c>
      <c r="B9" s="10">
        <v>56</v>
      </c>
      <c r="C9" s="10">
        <f>(B9-B8)/B8</f>
        <v>0.0566037735849057</v>
      </c>
      <c r="D9" s="10">
        <f>(A9*9.8/1000)/(C4)</f>
        <v>51487.6923076923</v>
      </c>
    </row>
    <row r="10" spans="1:4">
      <c r="A10" s="10">
        <v>404.9</v>
      </c>
      <c r="B10" s="10">
        <v>57</v>
      </c>
      <c r="C10" s="10">
        <f>(B10-B8)/B8</f>
        <v>0.0754716981132075</v>
      </c>
      <c r="D10" s="10">
        <f>(A10*9.8/1000)/(C4)</f>
        <v>101744.102564103</v>
      </c>
    </row>
    <row r="11" spans="1:4">
      <c r="A11" s="10">
        <v>604.9</v>
      </c>
      <c r="B11" s="10">
        <v>58</v>
      </c>
      <c r="C11" s="10">
        <f>(B11-B8)/B8</f>
        <v>0.0943396226415094</v>
      </c>
      <c r="D11" s="10">
        <f>(A11*9.8/1000)/(C4)</f>
        <v>152000.512820513</v>
      </c>
    </row>
    <row r="12" spans="1:4">
      <c r="A12" s="10">
        <v>704.9</v>
      </c>
      <c r="B12" s="10">
        <v>60</v>
      </c>
      <c r="C12" s="16">
        <f>(B12-B8)/B8</f>
        <v>0.132075471698113</v>
      </c>
      <c r="D12" s="10">
        <f>(A12*9.8/1000)/(C4)</f>
        <v>177128.717948718</v>
      </c>
    </row>
    <row r="13" spans="1:4">
      <c r="A13" s="10">
        <v>804.9</v>
      </c>
      <c r="B13" s="10">
        <v>60</v>
      </c>
      <c r="C13" s="16">
        <f>(B13-B8)/B8</f>
        <v>0.132075471698113</v>
      </c>
      <c r="D13" s="10">
        <f>(A13*9.8/1000)/(C4)</f>
        <v>202256.923076923</v>
      </c>
    </row>
    <row r="14" spans="1:4">
      <c r="A14" s="10">
        <v>904.9</v>
      </c>
      <c r="B14" s="10">
        <v>61</v>
      </c>
      <c r="C14" s="10">
        <f>(B14-B8)/B8</f>
        <v>0.150943396226415</v>
      </c>
      <c r="D14" s="10">
        <f>(A14*9.8/1000)/(C4)</f>
        <v>227385.128205128</v>
      </c>
    </row>
    <row r="15" spans="1:4">
      <c r="A15" s="10">
        <v>1004.9</v>
      </c>
      <c r="B15" s="10">
        <v>62</v>
      </c>
      <c r="C15" s="10">
        <f>(B15-B8)/B8</f>
        <v>0.169811320754717</v>
      </c>
      <c r="D15" s="10">
        <f>(A15*9.8/1000)/(C4)</f>
        <v>252513.333333333</v>
      </c>
    </row>
    <row r="16" spans="1:4">
      <c r="A16" s="10">
        <v>1104.9</v>
      </c>
      <c r="B16" s="10">
        <v>64</v>
      </c>
      <c r="C16" s="20">
        <f>(B16-B8)/B8</f>
        <v>0.207547169811321</v>
      </c>
      <c r="D16" s="10">
        <f>(A16*9.8/1000)/(C4)</f>
        <v>277641.538461538</v>
      </c>
    </row>
    <row r="17" spans="1:4">
      <c r="A17" s="10">
        <v>1154.9</v>
      </c>
      <c r="B17" s="10">
        <v>64</v>
      </c>
      <c r="C17" s="20">
        <f>(B17-B8)/B8</f>
        <v>0.207547169811321</v>
      </c>
      <c r="D17" s="10">
        <f>(A17*9.8/1000)/(C4)</f>
        <v>290205.641025641</v>
      </c>
    </row>
    <row r="18" spans="1:4">
      <c r="A18" s="10">
        <v>1204.9</v>
      </c>
      <c r="B18" s="10">
        <v>65</v>
      </c>
      <c r="C18" s="10">
        <f>(B18-B8)/B8</f>
        <v>0.226415094339623</v>
      </c>
      <c r="D18" s="10">
        <f>(A18*9.8/1000)/(C4)</f>
        <v>302769.743589744</v>
      </c>
    </row>
    <row r="20" spans="1:3">
      <c r="A20" s="7" t="s">
        <v>152</v>
      </c>
      <c r="B20" s="10" t="s">
        <v>153</v>
      </c>
      <c r="C20" s="7" t="s">
        <v>154</v>
      </c>
    </row>
    <row r="21" spans="1:4">
      <c r="A21" s="7" t="s">
        <v>155</v>
      </c>
      <c r="B21" s="10" t="s">
        <v>156</v>
      </c>
      <c r="C21" s="10">
        <f>SLOPE(D8:D18,C8:C18)</f>
        <v>1401647.51282051</v>
      </c>
      <c r="D21" t="s">
        <v>161</v>
      </c>
    </row>
    <row r="23" spans="2:3">
      <c r="B23">
        <f>STEYX(D8:D18,C8:C18)</f>
        <v>16294.8177818087</v>
      </c>
      <c r="C23">
        <v>1400000</v>
      </c>
    </row>
    <row r="24" spans="2:3">
      <c r="B24">
        <f>1.96*B23</f>
        <v>31937.842852345</v>
      </c>
      <c r="C24">
        <v>30000</v>
      </c>
    </row>
  </sheetData>
  <pageMargins left="0.7" right="0.7" top="0.75" bottom="0.75" header="0.3" footer="0.3"/>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D20" sqref="D20"/>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24" t="s">
        <v>47</v>
      </c>
    </row>
    <row r="2" ht="14.4" spans="1:2">
      <c r="A2" s="3" t="s">
        <v>142</v>
      </c>
      <c r="B2" s="4"/>
    </row>
    <row r="3" spans="1:3">
      <c r="A3" s="5" t="s">
        <v>143</v>
      </c>
      <c r="B3" s="6">
        <v>13</v>
      </c>
      <c r="C3" s="7" t="s">
        <v>144</v>
      </c>
    </row>
    <row r="4" spans="1:3">
      <c r="A4" s="8" t="s">
        <v>145</v>
      </c>
      <c r="B4" s="9">
        <v>2.3</v>
      </c>
      <c r="C4" s="10">
        <f>(B3/1000)*(B4/1000)</f>
        <v>2.99e-5</v>
      </c>
    </row>
    <row r="5" spans="1:2">
      <c r="A5" s="11"/>
      <c r="B5" s="11"/>
    </row>
    <row r="6" spans="1:2">
      <c r="A6" s="12" t="s">
        <v>146</v>
      </c>
      <c r="B6" s="12" t="s">
        <v>147</v>
      </c>
    </row>
    <row r="7" spans="1:4">
      <c r="A7" s="13" t="s">
        <v>148</v>
      </c>
      <c r="B7" s="14" t="s">
        <v>149</v>
      </c>
      <c r="C7" s="7" t="s">
        <v>150</v>
      </c>
      <c r="D7" s="7" t="s">
        <v>151</v>
      </c>
    </row>
    <row r="8" spans="1:4">
      <c r="A8" s="63">
        <v>0</v>
      </c>
      <c r="B8" s="63">
        <v>62</v>
      </c>
      <c r="C8" s="10">
        <v>0</v>
      </c>
      <c r="D8" s="10">
        <v>0</v>
      </c>
    </row>
    <row r="9" spans="1:4">
      <c r="A9" s="10">
        <v>104.9</v>
      </c>
      <c r="B9" s="10">
        <v>68.3</v>
      </c>
      <c r="C9" s="10">
        <f>(B9-B8)/B8</f>
        <v>0.101612903225806</v>
      </c>
      <c r="D9" s="10">
        <f>(A9*9.8/1000)/(C4)</f>
        <v>34381.9397993311</v>
      </c>
    </row>
    <row r="10" spans="1:4">
      <c r="A10" s="10">
        <v>204.9</v>
      </c>
      <c r="B10" s="10">
        <v>70</v>
      </c>
      <c r="C10" s="10">
        <f>(B10-B8)/B8</f>
        <v>0.129032258064516</v>
      </c>
      <c r="D10" s="10">
        <f>(A10*9.8/1000)/(C4)</f>
        <v>67157.8595317726</v>
      </c>
    </row>
    <row r="11" spans="1:4">
      <c r="A11" s="10">
        <v>404.9</v>
      </c>
      <c r="B11" s="10">
        <v>72</v>
      </c>
      <c r="C11" s="10">
        <f>(B11-B8)/B8</f>
        <v>0.161290322580645</v>
      </c>
      <c r="D11" s="10">
        <f>(A11*9.8/1000)/(C4)</f>
        <v>132709.698996656</v>
      </c>
    </row>
    <row r="12" spans="1:4">
      <c r="A12" s="10">
        <v>504.9</v>
      </c>
      <c r="B12" s="10">
        <v>73</v>
      </c>
      <c r="C12" s="10">
        <f>(B12-B8)/B8</f>
        <v>0.17741935483871</v>
      </c>
      <c r="D12" s="10">
        <f>(A12*9.8/1000)/(C4)</f>
        <v>165485.618729097</v>
      </c>
    </row>
    <row r="13" spans="1:4">
      <c r="A13" s="10">
        <v>604.9</v>
      </c>
      <c r="B13" s="10">
        <v>75.4</v>
      </c>
      <c r="C13" s="10">
        <f>(B13-B8)/B8</f>
        <v>0.216129032258065</v>
      </c>
      <c r="D13" s="10">
        <f>(A13*9.8/1000)/(C4)</f>
        <v>198261.538461538</v>
      </c>
    </row>
    <row r="14" spans="1:4">
      <c r="A14" s="10">
        <v>654.9</v>
      </c>
      <c r="B14" s="10">
        <v>76</v>
      </c>
      <c r="C14" s="10">
        <f>(B14-B8)/B8</f>
        <v>0.225806451612903</v>
      </c>
      <c r="D14" s="10">
        <f>(A14*9.8/1000)/(C4)</f>
        <v>214649.498327759</v>
      </c>
    </row>
    <row r="15" spans="1:4">
      <c r="A15" s="10">
        <v>854.9</v>
      </c>
      <c r="B15" s="10">
        <v>76.8</v>
      </c>
      <c r="C15" s="10">
        <f>(B15-B8)/B8</f>
        <v>0.238709677419355</v>
      </c>
      <c r="D15" s="10">
        <f>(A15*9.8/1000)/(C4)</f>
        <v>280201.337792642</v>
      </c>
    </row>
    <row r="16" spans="1:4">
      <c r="A16" s="10">
        <v>954.9</v>
      </c>
      <c r="B16" s="10">
        <v>79</v>
      </c>
      <c r="C16" s="10">
        <f>(B16-B8)/B8</f>
        <v>0.274193548387097</v>
      </c>
      <c r="D16" s="10">
        <f>(A16*9.8/1000)/(C4)</f>
        <v>312977.257525084</v>
      </c>
    </row>
    <row r="17" spans="1:4">
      <c r="A17" s="10">
        <v>1054.9</v>
      </c>
      <c r="B17" s="10">
        <v>79.7</v>
      </c>
      <c r="C17" s="10">
        <f>(B17-B8)/B8</f>
        <v>0.285483870967742</v>
      </c>
      <c r="D17" s="10">
        <f>(A17*9.8/1000)/(C4)</f>
        <v>345753.177257525</v>
      </c>
    </row>
    <row r="19" spans="1:3">
      <c r="A19" s="7" t="s">
        <v>152</v>
      </c>
      <c r="B19" s="10" t="s">
        <v>162</v>
      </c>
      <c r="C19" s="7" t="s">
        <v>154</v>
      </c>
    </row>
    <row r="20" spans="1:4">
      <c r="A20" s="7" t="s">
        <v>155</v>
      </c>
      <c r="B20" s="10" t="s">
        <v>163</v>
      </c>
      <c r="C20" s="10">
        <f>SLOPE(D8:D17,C8:C17)</f>
        <v>1297565.18958598</v>
      </c>
      <c r="D20" t="s">
        <v>164</v>
      </c>
    </row>
    <row r="22" spans="2:3">
      <c r="B22">
        <f>STEYX(D8:D17,C8:C17)</f>
        <v>35743.7106993894</v>
      </c>
      <c r="C22">
        <v>1300000</v>
      </c>
    </row>
    <row r="23" spans="2:3">
      <c r="B23">
        <f>1.96*B22</f>
        <v>70057.6729708031</v>
      </c>
      <c r="C23">
        <v>70000</v>
      </c>
    </row>
  </sheetData>
  <pageMargins left="0.7" right="0.7" top="0.75" bottom="0.75" header="0.3" footer="0.3"/>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4"/>
  <sheetViews>
    <sheetView workbookViewId="0">
      <selection activeCell="D21" sqref="D21"/>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18" t="s">
        <v>52</v>
      </c>
    </row>
    <row r="2" ht="14.4" spans="1:2">
      <c r="A2" s="3" t="s">
        <v>142</v>
      </c>
      <c r="B2" s="4"/>
    </row>
    <row r="3" spans="1:3">
      <c r="A3" s="5" t="s">
        <v>143</v>
      </c>
      <c r="B3" s="34">
        <v>20.8</v>
      </c>
      <c r="C3" s="7" t="s">
        <v>144</v>
      </c>
    </row>
    <row r="4" spans="1:3">
      <c r="A4" s="8" t="s">
        <v>145</v>
      </c>
      <c r="B4" s="9">
        <v>2.8</v>
      </c>
      <c r="C4" s="10">
        <f>(B3/1000)*(B4/1000)</f>
        <v>5.824e-5</v>
      </c>
    </row>
    <row r="5" spans="1:2">
      <c r="A5" s="11"/>
      <c r="B5" s="11"/>
    </row>
    <row r="6" spans="1:2">
      <c r="A6" s="12" t="s">
        <v>146</v>
      </c>
      <c r="B6" s="12" t="s">
        <v>147</v>
      </c>
    </row>
    <row r="7" spans="1:4">
      <c r="A7" s="13" t="s">
        <v>148</v>
      </c>
      <c r="B7" s="14" t="s">
        <v>149</v>
      </c>
      <c r="C7" s="7" t="s">
        <v>150</v>
      </c>
      <c r="D7" s="7" t="s">
        <v>151</v>
      </c>
    </row>
    <row r="8" spans="1:4">
      <c r="A8" s="25">
        <v>0</v>
      </c>
      <c r="B8" s="61">
        <v>81</v>
      </c>
      <c r="C8" s="10">
        <v>0</v>
      </c>
      <c r="D8" s="10">
        <v>0</v>
      </c>
    </row>
    <row r="9" spans="1:4">
      <c r="A9" s="26">
        <v>5</v>
      </c>
      <c r="B9" s="62">
        <v>81</v>
      </c>
      <c r="C9" s="10">
        <f>(B9-B8)/B8</f>
        <v>0</v>
      </c>
      <c r="D9" s="10">
        <f>(A9*9.8/1000)/(C4)</f>
        <v>841.346153846154</v>
      </c>
    </row>
    <row r="10" spans="1:4">
      <c r="A10" s="26">
        <v>55</v>
      </c>
      <c r="B10" s="62">
        <v>82.5</v>
      </c>
      <c r="C10" s="10">
        <f>(B10-B8)/B8</f>
        <v>0.0185185185185185</v>
      </c>
      <c r="D10" s="10">
        <f>(A10*9.8/1000)/(C4)</f>
        <v>9254.80769230769</v>
      </c>
    </row>
    <row r="11" spans="1:4">
      <c r="A11" s="26">
        <v>105</v>
      </c>
      <c r="B11" s="62">
        <v>83.2</v>
      </c>
      <c r="C11" s="10">
        <f>(B11-B8)/B8</f>
        <v>0.0271604938271605</v>
      </c>
      <c r="D11" s="10">
        <f>(A11*9.8/1000)/(C4)</f>
        <v>17668.2692307692</v>
      </c>
    </row>
    <row r="12" spans="1:4">
      <c r="A12" s="26">
        <v>155</v>
      </c>
      <c r="B12" s="62">
        <v>84</v>
      </c>
      <c r="C12" s="10">
        <f>(B12-B8)/B8</f>
        <v>0.037037037037037</v>
      </c>
      <c r="D12" s="10">
        <f>(A12*9.8/1000)/(C4)</f>
        <v>26081.7307692308</v>
      </c>
    </row>
    <row r="13" spans="1:4">
      <c r="A13" s="26">
        <v>255</v>
      </c>
      <c r="B13" s="62">
        <v>85.5</v>
      </c>
      <c r="C13" s="10">
        <f>(B13-B8)/B8</f>
        <v>0.0555555555555556</v>
      </c>
      <c r="D13" s="10">
        <f>(A13*9.8/1000)/(C4)</f>
        <v>42908.6538461539</v>
      </c>
    </row>
    <row r="14" spans="1:4">
      <c r="A14" s="26">
        <v>355</v>
      </c>
      <c r="B14" s="62">
        <v>87.4</v>
      </c>
      <c r="C14" s="10">
        <f>(B14-B8)/B8</f>
        <v>0.0790123456790124</v>
      </c>
      <c r="D14" s="10">
        <f>(A14*9.8/1000)/(C4)</f>
        <v>59735.5769230769</v>
      </c>
    </row>
    <row r="15" spans="1:4">
      <c r="A15" s="26">
        <v>455</v>
      </c>
      <c r="B15" s="62">
        <v>88.5</v>
      </c>
      <c r="C15" s="10">
        <f>(B15-B8)/B8</f>
        <v>0.0925925925925926</v>
      </c>
      <c r="D15" s="10">
        <f>(A15*9.8/1000)/(C4)</f>
        <v>76562.5</v>
      </c>
    </row>
    <row r="16" spans="1:4">
      <c r="A16" s="26">
        <v>505</v>
      </c>
      <c r="B16" s="62">
        <v>89</v>
      </c>
      <c r="C16" s="10">
        <f>(B16-B8)/B8</f>
        <v>0.0987654320987654</v>
      </c>
      <c r="D16" s="10">
        <f>(A16*9.8/1000)/(C4)</f>
        <v>84975.9615384615</v>
      </c>
    </row>
    <row r="17" spans="1:4">
      <c r="A17" s="26">
        <v>555</v>
      </c>
      <c r="B17" s="62">
        <v>89.9</v>
      </c>
      <c r="C17" s="10">
        <f>(B17-B8)/B8</f>
        <v>0.109876543209877</v>
      </c>
      <c r="D17" s="10">
        <f>(A17*9.8/1000)/(C4)</f>
        <v>93389.4230769231</v>
      </c>
    </row>
    <row r="18" spans="1:4">
      <c r="A18" s="26">
        <v>655</v>
      </c>
      <c r="B18" s="62">
        <v>91.8</v>
      </c>
      <c r="C18" s="10">
        <f>(B18-B8)/B8</f>
        <v>0.133333333333333</v>
      </c>
      <c r="D18" s="10">
        <f>(A18*9.8/1000)/(C4)</f>
        <v>110216.346153846</v>
      </c>
    </row>
    <row r="20" spans="1:3">
      <c r="A20" s="7" t="s">
        <v>152</v>
      </c>
      <c r="B20" s="10" t="s">
        <v>162</v>
      </c>
      <c r="C20" s="7" t="s">
        <v>154</v>
      </c>
    </row>
    <row r="21" spans="1:4">
      <c r="A21" s="7" t="s">
        <v>155</v>
      </c>
      <c r="B21" s="10" t="s">
        <v>159</v>
      </c>
      <c r="C21" s="10">
        <f>SLOPE(D8:D18,C8:C18)</f>
        <v>855417.481917911</v>
      </c>
      <c r="D21" t="s">
        <v>165</v>
      </c>
    </row>
    <row r="23" spans="2:3">
      <c r="B23">
        <f>STEYX(D8:D18,C8:C18)</f>
        <v>3233.2551011017</v>
      </c>
      <c r="C23">
        <v>855000</v>
      </c>
    </row>
    <row r="24" spans="2:3">
      <c r="B24">
        <f>1.96*B23</f>
        <v>6337.17999815933</v>
      </c>
      <c r="C24">
        <v>10000</v>
      </c>
    </row>
  </sheetData>
  <pageMargins left="0.7" right="0.7" top="0.75" bottom="0.75" header="0.3" footer="0.3"/>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D21" sqref="D21"/>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18" t="s">
        <v>54</v>
      </c>
    </row>
    <row r="2" ht="14.4" spans="1:2">
      <c r="A2" s="3" t="s">
        <v>142</v>
      </c>
      <c r="B2" s="4"/>
    </row>
    <row r="3" spans="1:3">
      <c r="A3" s="5" t="s">
        <v>143</v>
      </c>
      <c r="B3" s="6">
        <v>13</v>
      </c>
      <c r="C3" s="7" t="s">
        <v>144</v>
      </c>
    </row>
    <row r="4" spans="1:3">
      <c r="A4" s="8" t="s">
        <v>145</v>
      </c>
      <c r="B4" s="60">
        <v>2.5</v>
      </c>
      <c r="C4" s="16">
        <f>(B3/1000)*(B4/1000)</f>
        <v>3.25e-5</v>
      </c>
    </row>
    <row r="5" spans="1:2">
      <c r="A5" s="11"/>
      <c r="B5" s="11"/>
    </row>
    <row r="6" spans="1:2">
      <c r="A6" s="12" t="s">
        <v>146</v>
      </c>
      <c r="B6" s="12" t="s">
        <v>147</v>
      </c>
    </row>
    <row r="7" spans="1:4">
      <c r="A7" s="13" t="s">
        <v>148</v>
      </c>
      <c r="B7" s="14" t="s">
        <v>149</v>
      </c>
      <c r="C7" s="7" t="s">
        <v>150</v>
      </c>
      <c r="D7" s="7" t="s">
        <v>151</v>
      </c>
    </row>
    <row r="8" spans="1:4">
      <c r="A8" s="15">
        <v>0</v>
      </c>
      <c r="B8" s="15">
        <v>72</v>
      </c>
      <c r="C8" s="10">
        <v>0</v>
      </c>
      <c r="D8" s="10">
        <v>0</v>
      </c>
    </row>
    <row r="9" spans="1:4">
      <c r="A9" s="10">
        <v>15.6</v>
      </c>
      <c r="B9" s="10">
        <v>72.5</v>
      </c>
      <c r="C9" s="10">
        <f>(B9-B8)/B8</f>
        <v>0.00694444444444444</v>
      </c>
      <c r="D9" s="10">
        <f>(A9*9.8/1000)/(C4)</f>
        <v>4704</v>
      </c>
    </row>
    <row r="10" spans="1:4">
      <c r="A10" s="10">
        <v>115.6</v>
      </c>
      <c r="B10" s="10">
        <v>73.5</v>
      </c>
      <c r="C10" s="10">
        <f>(B10-B8)/B8</f>
        <v>0.0208333333333333</v>
      </c>
      <c r="D10" s="10">
        <f>(A10*9.8/1000)/(C4)</f>
        <v>34857.8461538462</v>
      </c>
    </row>
    <row r="11" spans="1:4">
      <c r="A11" s="10">
        <v>215.6</v>
      </c>
      <c r="B11" s="10">
        <v>75.2</v>
      </c>
      <c r="C11" s="10">
        <f>(B11-B8)/B8</f>
        <v>0.0444444444444445</v>
      </c>
      <c r="D11" s="10">
        <f>(A11*9.8/1000)/(C4)</f>
        <v>65011.6923076923</v>
      </c>
    </row>
    <row r="12" spans="1:4">
      <c r="A12" s="10">
        <v>315.6</v>
      </c>
      <c r="B12" s="10">
        <v>77</v>
      </c>
      <c r="C12" s="10">
        <f>(B12-B8)/B8</f>
        <v>0.0694444444444444</v>
      </c>
      <c r="D12" s="10">
        <f>(A12*9.8/1000)/(C4)</f>
        <v>95165.5384615385</v>
      </c>
    </row>
    <row r="13" spans="1:4">
      <c r="A13" s="10">
        <v>415.6</v>
      </c>
      <c r="B13" s="10">
        <v>78</v>
      </c>
      <c r="C13" s="10">
        <f>(B13-B8)/B8</f>
        <v>0.0833333333333333</v>
      </c>
      <c r="D13" s="10">
        <f>(A13*9.8/1000)/(C4)</f>
        <v>125319.384615385</v>
      </c>
    </row>
    <row r="14" spans="1:4">
      <c r="A14" s="10">
        <v>515.6</v>
      </c>
      <c r="B14" s="10">
        <v>80.5</v>
      </c>
      <c r="C14" s="10">
        <f>(B14-B8)/B8</f>
        <v>0.118055555555556</v>
      </c>
      <c r="D14" s="10">
        <f>(A14*9.8/1000)/(C4)</f>
        <v>155473.230769231</v>
      </c>
    </row>
    <row r="15" spans="1:4">
      <c r="A15" s="10">
        <v>615.6</v>
      </c>
      <c r="B15" s="10">
        <v>82</v>
      </c>
      <c r="C15" s="10">
        <f>(B15-B8)/B8</f>
        <v>0.138888888888889</v>
      </c>
      <c r="D15" s="10">
        <f>(A15*9.8/1000)/(C4)</f>
        <v>185627.076923077</v>
      </c>
    </row>
    <row r="16" spans="1:4">
      <c r="A16" s="10">
        <v>815.6</v>
      </c>
      <c r="B16" s="10">
        <v>86.3</v>
      </c>
      <c r="C16" s="10">
        <f>(B16-B8)/B8</f>
        <v>0.198611111111111</v>
      </c>
      <c r="D16" s="10">
        <f>(A16*9.8/1000)/(C4)</f>
        <v>245934.769230769</v>
      </c>
    </row>
    <row r="17" spans="1:4">
      <c r="A17" s="10">
        <v>1015.6</v>
      </c>
      <c r="B17" s="10">
        <v>91</v>
      </c>
      <c r="C17" s="10">
        <f>(B17-B8)/B8</f>
        <v>0.263888888888889</v>
      </c>
      <c r="D17" s="10">
        <f>(A17*9.8/1000)/(C4)</f>
        <v>306242.461538462</v>
      </c>
    </row>
    <row r="18" spans="1:4">
      <c r="A18" s="10">
        <v>1215.6</v>
      </c>
      <c r="B18" s="10">
        <v>95.3</v>
      </c>
      <c r="C18" s="10">
        <f>(B18-B8)/B8</f>
        <v>0.323611111111111</v>
      </c>
      <c r="D18" s="10">
        <f>(A18*9.8/1000)/(C4)</f>
        <v>366550.153846154</v>
      </c>
    </row>
    <row r="20" spans="1:3">
      <c r="A20" s="7" t="s">
        <v>152</v>
      </c>
      <c r="B20" s="10" t="s">
        <v>153</v>
      </c>
      <c r="C20" s="7" t="s">
        <v>154</v>
      </c>
    </row>
    <row r="21" spans="1:4">
      <c r="A21" s="7" t="s">
        <v>155</v>
      </c>
      <c r="B21" s="10" t="s">
        <v>156</v>
      </c>
      <c r="C21" s="10">
        <f>SLOPE(D8:D18,C8:C18)</f>
        <v>1133229.51531421</v>
      </c>
      <c r="D21" t="s">
        <v>166</v>
      </c>
    </row>
    <row r="22" spans="2:3">
      <c r="B22">
        <f>STEYX(D8:D18,C8:C18)</f>
        <v>12213.2651678403</v>
      </c>
      <c r="C22">
        <v>1130000</v>
      </c>
    </row>
    <row r="23" spans="2:3">
      <c r="B23">
        <f>1.96*B22</f>
        <v>23937.9997289669</v>
      </c>
      <c r="C23">
        <v>20000</v>
      </c>
    </row>
  </sheetData>
  <pageMargins left="0.7" right="0.7" top="0.75" bottom="0.75" header="0.3" footer="0.3"/>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1"/>
  <sheetViews>
    <sheetView workbookViewId="0">
      <selection activeCell="D19" sqref="D19"/>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4">
      <c r="A1" s="42" t="s">
        <v>141</v>
      </c>
      <c r="B1" s="43" t="s">
        <v>57</v>
      </c>
      <c r="C1" s="44"/>
      <c r="D1" s="44"/>
    </row>
    <row r="2" ht="14.4" spans="1:4">
      <c r="A2" s="45" t="s">
        <v>142</v>
      </c>
      <c r="B2" s="46"/>
      <c r="C2" s="44"/>
      <c r="D2" s="44"/>
    </row>
    <row r="3" spans="1:4">
      <c r="A3" s="47" t="s">
        <v>143</v>
      </c>
      <c r="B3" s="48">
        <v>13</v>
      </c>
      <c r="C3" s="49" t="s">
        <v>144</v>
      </c>
      <c r="D3" s="44"/>
    </row>
    <row r="4" spans="1:4">
      <c r="A4" s="50" t="s">
        <v>145</v>
      </c>
      <c r="B4" s="51">
        <v>3</v>
      </c>
      <c r="C4" s="44">
        <f>(B3/1000)*(B4/1000)</f>
        <v>3.9e-5</v>
      </c>
      <c r="D4" s="44"/>
    </row>
    <row r="5" spans="1:4">
      <c r="A5" s="52"/>
      <c r="B5" s="52"/>
      <c r="C5" s="44"/>
      <c r="D5" s="44"/>
    </row>
    <row r="6" spans="1:4">
      <c r="A6" s="53" t="s">
        <v>146</v>
      </c>
      <c r="B6" s="53" t="s">
        <v>147</v>
      </c>
      <c r="C6" s="44"/>
      <c r="D6" s="44"/>
    </row>
    <row r="7" spans="1:4">
      <c r="A7" s="54" t="s">
        <v>148</v>
      </c>
      <c r="B7" s="55" t="s">
        <v>149</v>
      </c>
      <c r="C7" s="56" t="s">
        <v>150</v>
      </c>
      <c r="D7" s="56" t="s">
        <v>151</v>
      </c>
    </row>
    <row r="8" spans="1:4">
      <c r="A8" s="57">
        <v>0</v>
      </c>
      <c r="B8" s="57">
        <v>70</v>
      </c>
      <c r="C8" s="58">
        <v>0</v>
      </c>
      <c r="D8" s="58">
        <v>0</v>
      </c>
    </row>
    <row r="9" spans="1:4">
      <c r="A9" s="58">
        <v>100</v>
      </c>
      <c r="B9" s="58">
        <v>73</v>
      </c>
      <c r="C9" s="58">
        <f>(B9-B8)/B8</f>
        <v>0.0428571428571429</v>
      </c>
      <c r="D9" s="58">
        <f>(A9*9.8/1000)/(C4)</f>
        <v>25128.2051282051</v>
      </c>
    </row>
    <row r="10" spans="1:4">
      <c r="A10" s="58">
        <v>200</v>
      </c>
      <c r="B10" s="58">
        <v>73</v>
      </c>
      <c r="C10" s="58">
        <f>(B10-B8)/B8</f>
        <v>0.0428571428571429</v>
      </c>
      <c r="D10" s="58">
        <f>(A10*9.8/1000)/(C4)</f>
        <v>50256.4102564103</v>
      </c>
    </row>
    <row r="11" spans="1:4">
      <c r="A11" s="58">
        <v>300</v>
      </c>
      <c r="B11" s="58">
        <v>75</v>
      </c>
      <c r="C11" s="58">
        <f>(B11-B8)/B8</f>
        <v>0.0714285714285714</v>
      </c>
      <c r="D11" s="58">
        <f>(A11*9.8/1000)/(C4)</f>
        <v>75384.6153846154</v>
      </c>
    </row>
    <row r="12" spans="1:4">
      <c r="A12" s="58">
        <v>350</v>
      </c>
      <c r="B12" s="58">
        <v>75</v>
      </c>
      <c r="C12" s="58">
        <f>(B12-B8)/B8</f>
        <v>0.0714285714285714</v>
      </c>
      <c r="D12" s="58">
        <f>(A12*9.8/1000)/(C4)</f>
        <v>87948.717948718</v>
      </c>
    </row>
    <row r="13" spans="1:4">
      <c r="A13" s="58">
        <v>400</v>
      </c>
      <c r="B13" s="58">
        <v>76</v>
      </c>
      <c r="C13" s="58">
        <f>(B13-B8)/B8</f>
        <v>0.0857142857142857</v>
      </c>
      <c r="D13" s="58">
        <f>(A13*9.8/1000)/(C4)</f>
        <v>100512.820512821</v>
      </c>
    </row>
    <row r="14" spans="1:4">
      <c r="A14" s="58">
        <v>450</v>
      </c>
      <c r="B14" s="58">
        <v>76</v>
      </c>
      <c r="C14" s="58">
        <f>(B14-B8)/B8</f>
        <v>0.0857142857142857</v>
      </c>
      <c r="D14" s="58">
        <f>(A14*9.8/1000)/(C4)</f>
        <v>113076.923076923</v>
      </c>
    </row>
    <row r="15" spans="1:4">
      <c r="A15" s="58">
        <v>500</v>
      </c>
      <c r="B15" s="58">
        <v>77</v>
      </c>
      <c r="C15" s="58">
        <f>(B15-B8)/B8</f>
        <v>0.1</v>
      </c>
      <c r="D15" s="58">
        <f>(A15*9.8/1000)/(C4)</f>
        <v>125641.025641026</v>
      </c>
    </row>
    <row r="16" spans="1:4">
      <c r="A16" s="58">
        <v>550</v>
      </c>
      <c r="B16" s="59">
        <v>78</v>
      </c>
      <c r="C16" s="59">
        <f>(B16-B8)/B8</f>
        <v>0.114285714285714</v>
      </c>
      <c r="D16" s="59">
        <f>(A16*9.8/1000)/(C4)</f>
        <v>138205.128205128</v>
      </c>
    </row>
    <row r="17" spans="1:4">
      <c r="A17" s="44"/>
      <c r="B17" s="44"/>
      <c r="C17" s="44"/>
      <c r="D17" s="44"/>
    </row>
    <row r="18" spans="1:4">
      <c r="A18" s="56" t="s">
        <v>152</v>
      </c>
      <c r="B18" s="58" t="s">
        <v>153</v>
      </c>
      <c r="C18" s="56" t="s">
        <v>154</v>
      </c>
      <c r="D18" s="44"/>
    </row>
    <row r="19" spans="1:4">
      <c r="A19" s="56" t="s">
        <v>155</v>
      </c>
      <c r="B19" s="58" t="s">
        <v>167</v>
      </c>
      <c r="C19" s="58">
        <f>SLOPE(D8:D16,C8:C16)</f>
        <v>1306901.50970525</v>
      </c>
      <c r="D19" s="44" t="s">
        <v>157</v>
      </c>
    </row>
    <row r="20" spans="1:4">
      <c r="A20" s="44"/>
      <c r="B20" s="44">
        <f>STEYX(D8:D16,C8:C16)</f>
        <v>10608.6761675449</v>
      </c>
      <c r="C20" s="44">
        <v>1310000</v>
      </c>
      <c r="D20" s="44"/>
    </row>
    <row r="21" spans="1:4">
      <c r="A21" s="44"/>
      <c r="B21" s="44">
        <f>1.96*B20</f>
        <v>20793.0052883881</v>
      </c>
      <c r="C21" s="44">
        <v>20000</v>
      </c>
      <c r="D21" s="44"/>
    </row>
  </sheetData>
  <pageMargins left="0.7" right="0.7" top="0.75" bottom="0.75" header="0.3" footer="0.3"/>
  <pageSetup paperSize="1" orientation="portrait"/>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D21" sqref="D21"/>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4">
      <c r="A1" s="29" t="s">
        <v>141</v>
      </c>
      <c r="B1" s="24" t="s">
        <v>60</v>
      </c>
      <c r="C1" s="30"/>
      <c r="D1" s="30"/>
    </row>
    <row r="2" ht="14.4" spans="1:4">
      <c r="A2" s="31" t="s">
        <v>142</v>
      </c>
      <c r="B2" s="32"/>
      <c r="C2" s="30"/>
      <c r="D2" s="30"/>
    </row>
    <row r="3" spans="1:4">
      <c r="A3" s="33" t="s">
        <v>143</v>
      </c>
      <c r="B3" s="34">
        <v>13</v>
      </c>
      <c r="C3" s="35" t="s">
        <v>144</v>
      </c>
      <c r="D3" s="30"/>
    </row>
    <row r="4" spans="1:4">
      <c r="A4" s="36" t="s">
        <v>145</v>
      </c>
      <c r="B4" s="37">
        <v>2.8</v>
      </c>
      <c r="C4" s="20">
        <f>(B3/1000)*(B4/1000)</f>
        <v>3.64e-5</v>
      </c>
      <c r="D4" s="30"/>
    </row>
    <row r="5" spans="1:4">
      <c r="A5" s="38"/>
      <c r="B5" s="38"/>
      <c r="C5" s="30"/>
      <c r="D5" s="30"/>
    </row>
    <row r="6" spans="1:4">
      <c r="A6" s="39" t="s">
        <v>146</v>
      </c>
      <c r="B6" s="39" t="s">
        <v>147</v>
      </c>
      <c r="C6" s="30"/>
      <c r="D6" s="30"/>
    </row>
    <row r="7" spans="1:4">
      <c r="A7" s="40" t="s">
        <v>148</v>
      </c>
      <c r="B7" s="41" t="s">
        <v>149</v>
      </c>
      <c r="C7" s="35" t="s">
        <v>150</v>
      </c>
      <c r="D7" s="35" t="s">
        <v>151</v>
      </c>
    </row>
    <row r="8" spans="1:4">
      <c r="A8" s="28">
        <v>0</v>
      </c>
      <c r="B8" s="28">
        <v>68.5</v>
      </c>
      <c r="C8" s="20">
        <v>0</v>
      </c>
      <c r="D8" s="20">
        <v>0</v>
      </c>
    </row>
    <row r="9" spans="1:4">
      <c r="A9" s="20">
        <v>15.5</v>
      </c>
      <c r="B9" s="20">
        <v>69</v>
      </c>
      <c r="C9" s="20">
        <f>(B9-B8)/B8</f>
        <v>0.0072992700729927</v>
      </c>
      <c r="D9" s="20">
        <f>(A9*9.8/1000)/(C4)</f>
        <v>4173.07692307692</v>
      </c>
    </row>
    <row r="10" spans="1:4">
      <c r="A10" s="20">
        <v>65.5</v>
      </c>
      <c r="B10" s="20">
        <v>70.5</v>
      </c>
      <c r="C10" s="20">
        <f>(B10-B8)/B8</f>
        <v>0.0291970802919708</v>
      </c>
      <c r="D10" s="20">
        <f>(A10*9.8/1000)/(C4)</f>
        <v>17634.6153846154</v>
      </c>
    </row>
    <row r="11" spans="1:4">
      <c r="A11" s="20">
        <v>115.5</v>
      </c>
      <c r="B11" s="20">
        <v>71.1</v>
      </c>
      <c r="C11" s="20">
        <f>(B11-B8)/B8</f>
        <v>0.037956204379562</v>
      </c>
      <c r="D11" s="20">
        <f>(A11*9.8/1000)/(C4)</f>
        <v>31096.1538461539</v>
      </c>
    </row>
    <row r="12" spans="1:4">
      <c r="A12" s="20">
        <v>165.5</v>
      </c>
      <c r="B12" s="20">
        <v>71.5</v>
      </c>
      <c r="C12" s="20">
        <f>(B12-B8)/B8</f>
        <v>0.0437956204379562</v>
      </c>
      <c r="D12" s="20">
        <f>(A12*9.8/1000)/(C4)</f>
        <v>44557.6923076923</v>
      </c>
    </row>
    <row r="13" spans="1:4">
      <c r="A13" s="20">
        <v>265.5</v>
      </c>
      <c r="B13" s="20">
        <v>72.8</v>
      </c>
      <c r="C13" s="20">
        <f>(B13-B8)/B8</f>
        <v>0.0627737226277372</v>
      </c>
      <c r="D13" s="20">
        <f>(A13*9.8/1000)/(C4)</f>
        <v>71480.7692307692</v>
      </c>
    </row>
    <row r="14" spans="1:4">
      <c r="A14" s="20">
        <v>315.5</v>
      </c>
      <c r="B14" s="20">
        <v>73.5</v>
      </c>
      <c r="C14" s="20">
        <f>(B14-B8)/B8</f>
        <v>0.072992700729927</v>
      </c>
      <c r="D14" s="20">
        <f>(A14*9.8/1000)/(C4)</f>
        <v>84942.3076923077</v>
      </c>
    </row>
    <row r="15" spans="1:4">
      <c r="A15" s="20">
        <v>365.5</v>
      </c>
      <c r="B15" s="20">
        <v>74.1</v>
      </c>
      <c r="C15" s="20">
        <f>(B15-B8)/B8</f>
        <v>0.0817518248175182</v>
      </c>
      <c r="D15" s="20">
        <f>(A15*9.8/1000)/(C4)</f>
        <v>98403.8461538462</v>
      </c>
    </row>
    <row r="16" spans="1:4">
      <c r="A16" s="20">
        <v>415.5</v>
      </c>
      <c r="B16" s="20">
        <v>74.9</v>
      </c>
      <c r="C16" s="20">
        <f>(B16-B8)/B8</f>
        <v>0.0934306569343066</v>
      </c>
      <c r="D16" s="20">
        <f>(A16*9.8/1000)/(C4)</f>
        <v>111865.384615385</v>
      </c>
    </row>
    <row r="17" spans="1:4">
      <c r="A17" s="20">
        <v>515.5</v>
      </c>
      <c r="B17" s="20">
        <v>76.1</v>
      </c>
      <c r="C17" s="20">
        <f>(B17-B8)/B8</f>
        <v>0.110948905109489</v>
      </c>
      <c r="D17" s="20">
        <f>(A17*9.8/1000)/(C4)</f>
        <v>138788.461538462</v>
      </c>
    </row>
    <row r="18" spans="1:4">
      <c r="A18" s="20">
        <v>565.5</v>
      </c>
      <c r="B18" s="20">
        <v>76.9</v>
      </c>
      <c r="C18" s="20">
        <f>(B18-B8)/B8</f>
        <v>0.122627737226277</v>
      </c>
      <c r="D18" s="20">
        <f>(A18*9.8/1000)/(C4)</f>
        <v>152250</v>
      </c>
    </row>
    <row r="20" spans="1:3">
      <c r="A20" s="7" t="s">
        <v>152</v>
      </c>
      <c r="B20" s="10" t="s">
        <v>162</v>
      </c>
      <c r="C20" s="7" t="s">
        <v>154</v>
      </c>
    </row>
    <row r="21" spans="1:4">
      <c r="A21" s="7" t="s">
        <v>155</v>
      </c>
      <c r="B21" s="10" t="s">
        <v>156</v>
      </c>
      <c r="C21" s="10">
        <f>SLOPE(D8:D18,C8:C18)</f>
        <v>1309790.87295731</v>
      </c>
      <c r="D21" t="s">
        <v>160</v>
      </c>
    </row>
    <row r="22" spans="2:3">
      <c r="B22">
        <f>STEYX(D8:D18,C8:C18)</f>
        <v>6081.67063775125</v>
      </c>
      <c r="C22">
        <v>1310000</v>
      </c>
    </row>
    <row r="23" spans="2:3">
      <c r="B23">
        <f>1.96*B22</f>
        <v>11920.0744499924</v>
      </c>
      <c r="C23">
        <v>10000</v>
      </c>
    </row>
  </sheetData>
  <pageMargins left="0.7" right="0.7" top="0.75" bottom="0.75" header="0.3" footer="0.3"/>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2"/>
  <sheetViews>
    <sheetView workbookViewId="0">
      <selection activeCell="D20" sqref="D20"/>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24" t="s">
        <v>64</v>
      </c>
    </row>
    <row r="2" ht="14.4" spans="1:2">
      <c r="A2" s="3" t="s">
        <v>142</v>
      </c>
      <c r="B2" s="4"/>
    </row>
    <row r="3" spans="1:3">
      <c r="A3" s="5" t="s">
        <v>143</v>
      </c>
      <c r="B3" s="6">
        <v>13</v>
      </c>
      <c r="C3" s="7" t="s">
        <v>144</v>
      </c>
    </row>
    <row r="4" spans="1:3">
      <c r="A4" s="8" t="s">
        <v>145</v>
      </c>
      <c r="B4" s="9">
        <v>3</v>
      </c>
      <c r="C4" s="10">
        <f>(B3/1000)*(B4/1000)</f>
        <v>3.9e-5</v>
      </c>
    </row>
    <row r="5" spans="1:2">
      <c r="A5" s="11"/>
      <c r="B5" s="11"/>
    </row>
    <row r="6" spans="1:2">
      <c r="A6" s="12" t="s">
        <v>146</v>
      </c>
      <c r="B6" s="12" t="s">
        <v>147</v>
      </c>
    </row>
    <row r="7" spans="1:4">
      <c r="A7" s="13" t="s">
        <v>148</v>
      </c>
      <c r="B7" s="14" t="s">
        <v>149</v>
      </c>
      <c r="C7" s="7" t="s">
        <v>150</v>
      </c>
      <c r="D7" s="7" t="s">
        <v>151</v>
      </c>
    </row>
    <row r="8" spans="1:4">
      <c r="A8" s="28">
        <v>0</v>
      </c>
      <c r="B8" s="28">
        <v>77</v>
      </c>
      <c r="C8" s="20">
        <v>0</v>
      </c>
      <c r="D8" s="20">
        <v>0</v>
      </c>
    </row>
    <row r="9" spans="1:4">
      <c r="A9" s="10">
        <v>220.9</v>
      </c>
      <c r="B9" s="10">
        <v>78</v>
      </c>
      <c r="C9" s="10">
        <f>(B9-B8)/B8</f>
        <v>0.012987012987013</v>
      </c>
      <c r="D9" s="10">
        <f>(A9*9.8/1000)/(C4)</f>
        <v>55508.2051282051</v>
      </c>
    </row>
    <row r="10" spans="1:4">
      <c r="A10" s="10">
        <v>270.9</v>
      </c>
      <c r="B10" s="10">
        <v>80</v>
      </c>
      <c r="C10" s="10">
        <f>(B10-B8)/B8</f>
        <v>0.038961038961039</v>
      </c>
      <c r="D10" s="10">
        <f>(A10*9.8/1000)/(C4)</f>
        <v>68072.3076923077</v>
      </c>
    </row>
    <row r="11" spans="1:4">
      <c r="A11" s="10">
        <v>320.9</v>
      </c>
      <c r="B11" s="10">
        <v>81</v>
      </c>
      <c r="C11" s="10">
        <f>(B11-B8)/B8</f>
        <v>0.051948051948052</v>
      </c>
      <c r="D11" s="10">
        <f>(A11*9.8/1000)/(C4)</f>
        <v>80636.4102564103</v>
      </c>
    </row>
    <row r="12" spans="1:4">
      <c r="A12" s="10">
        <v>370.9</v>
      </c>
      <c r="B12" s="10">
        <v>82</v>
      </c>
      <c r="C12" s="10">
        <f>(B12-B8)/B8</f>
        <v>0.0649350649350649</v>
      </c>
      <c r="D12" s="10">
        <f>(A12*9.8/1000)/(C4)</f>
        <v>93200.5128205128</v>
      </c>
    </row>
    <row r="13" spans="1:4">
      <c r="A13" s="10">
        <v>420.9</v>
      </c>
      <c r="B13" s="10">
        <v>83.5</v>
      </c>
      <c r="C13" s="10">
        <f>(B13-B8)/B8</f>
        <v>0.0844155844155844</v>
      </c>
      <c r="D13" s="10">
        <f>(A13*9.8/1000)/(C4)</f>
        <v>105764.615384615</v>
      </c>
    </row>
    <row r="14" spans="1:4">
      <c r="A14" s="10">
        <v>470.9</v>
      </c>
      <c r="B14" s="10">
        <v>85</v>
      </c>
      <c r="C14" s="10">
        <f>(B14-B8)/B8</f>
        <v>0.103896103896104</v>
      </c>
      <c r="D14" s="10">
        <f>(A14*9.8/1000)/(C4)</f>
        <v>118328.717948718</v>
      </c>
    </row>
    <row r="15" spans="1:4">
      <c r="A15" s="10">
        <v>520.9</v>
      </c>
      <c r="B15" s="10">
        <v>86</v>
      </c>
      <c r="C15" s="10">
        <f>(B15-B8)/B8</f>
        <v>0.116883116883117</v>
      </c>
      <c r="D15" s="10">
        <f>(A15*9.8/1000)/(C4)</f>
        <v>130892.820512821</v>
      </c>
    </row>
    <row r="16" spans="1:4">
      <c r="A16" s="10">
        <v>570.9</v>
      </c>
      <c r="B16" s="10">
        <v>87</v>
      </c>
      <c r="C16" s="10">
        <f>(B16-B8)/B8</f>
        <v>0.12987012987013</v>
      </c>
      <c r="D16" s="10">
        <f>(A16*9.8/1000)/(C4)</f>
        <v>143456.923076923</v>
      </c>
    </row>
    <row r="17" spans="1:4">
      <c r="A17" s="10">
        <v>670.9</v>
      </c>
      <c r="B17" s="10">
        <v>91</v>
      </c>
      <c r="C17" s="10">
        <f>(B17-B8)/B8</f>
        <v>0.181818181818182</v>
      </c>
      <c r="D17" s="10">
        <f>(A17*9.8/1000)/(C4)</f>
        <v>168585.128205128</v>
      </c>
    </row>
    <row r="19" spans="1:3">
      <c r="A19" s="7" t="s">
        <v>152</v>
      </c>
      <c r="B19" s="10" t="s">
        <v>162</v>
      </c>
      <c r="C19" s="7" t="s">
        <v>154</v>
      </c>
    </row>
    <row r="20" spans="1:4">
      <c r="A20" s="7" t="s">
        <v>155</v>
      </c>
      <c r="B20" s="10" t="s">
        <v>156</v>
      </c>
      <c r="C20" s="10">
        <f>SLOPE(D8:D17,C8:C17)</f>
        <v>833176.095354588</v>
      </c>
      <c r="D20" t="s">
        <v>168</v>
      </c>
    </row>
    <row r="21" spans="2:3">
      <c r="B21">
        <f>STEYX(D8:D17,C8:C17)</f>
        <v>13754.1799416212</v>
      </c>
      <c r="C21">
        <v>830000</v>
      </c>
    </row>
    <row r="22" spans="2:3">
      <c r="B22">
        <f>1.96*B21</f>
        <v>26958.1926855776</v>
      </c>
      <c r="C22">
        <v>30000</v>
      </c>
    </row>
  </sheetData>
  <pageMargins left="0.7" right="0.7" top="0.75" bottom="0.75" header="0.3" footer="0.3"/>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D21" sqref="D21"/>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24" t="s">
        <v>65</v>
      </c>
    </row>
    <row r="2" ht="14.4" spans="1:2">
      <c r="A2" s="3" t="s">
        <v>142</v>
      </c>
      <c r="B2" s="4"/>
    </row>
    <row r="3" spans="1:3">
      <c r="A3" s="5" t="s">
        <v>143</v>
      </c>
      <c r="B3" s="6">
        <v>13</v>
      </c>
      <c r="C3" s="7" t="s">
        <v>144</v>
      </c>
    </row>
    <row r="4" spans="1:3">
      <c r="A4" s="8" t="s">
        <v>145</v>
      </c>
      <c r="B4" s="9">
        <v>3</v>
      </c>
      <c r="C4" s="10">
        <f>(B3/1000)*(B4/1000)</f>
        <v>3.9e-5</v>
      </c>
    </row>
    <row r="5" spans="1:2">
      <c r="A5" s="11"/>
      <c r="B5" s="11"/>
    </row>
    <row r="6" spans="1:2">
      <c r="A6" s="12" t="s">
        <v>146</v>
      </c>
      <c r="B6" s="12" t="s">
        <v>147</v>
      </c>
    </row>
    <row r="7" spans="1:4">
      <c r="A7" s="13" t="s">
        <v>148</v>
      </c>
      <c r="B7" s="14" t="s">
        <v>149</v>
      </c>
      <c r="C7" s="7" t="s">
        <v>150</v>
      </c>
      <c r="D7" s="7" t="s">
        <v>151</v>
      </c>
    </row>
    <row r="8" spans="1:4">
      <c r="A8" s="25">
        <v>0</v>
      </c>
      <c r="B8" s="25">
        <v>75</v>
      </c>
      <c r="C8" s="10">
        <v>0</v>
      </c>
      <c r="D8" s="10">
        <v>0</v>
      </c>
    </row>
    <row r="9" spans="1:4">
      <c r="A9" s="26">
        <v>4.9</v>
      </c>
      <c r="B9" s="26">
        <v>75</v>
      </c>
      <c r="C9" s="10">
        <f>(B9-B8)/B8</f>
        <v>0</v>
      </c>
      <c r="D9" s="10">
        <f>(A9*9.8/1000)/(C4)</f>
        <v>1231.28205128205</v>
      </c>
    </row>
    <row r="10" spans="1:4">
      <c r="A10" s="26">
        <v>54.9</v>
      </c>
      <c r="B10" s="26">
        <v>77</v>
      </c>
      <c r="C10" s="10">
        <f>(B10-B8)/B8</f>
        <v>0.0266666666666667</v>
      </c>
      <c r="D10" s="10">
        <f>(A10*9.8/1000)/(C4)</f>
        <v>13795.3846153846</v>
      </c>
    </row>
    <row r="11" spans="1:4">
      <c r="A11" s="27">
        <v>104.9</v>
      </c>
      <c r="B11" s="27">
        <v>78</v>
      </c>
      <c r="C11" s="16">
        <f>(B11-B8)/B8</f>
        <v>0.04</v>
      </c>
      <c r="D11" s="16">
        <f>(A11*9.8/1000)/(C4)</f>
        <v>26359.4871794872</v>
      </c>
    </row>
    <row r="12" spans="1:4">
      <c r="A12" s="27">
        <v>154.9</v>
      </c>
      <c r="B12" s="27">
        <v>78</v>
      </c>
      <c r="C12" s="16">
        <f>(B12-B8)/B8</f>
        <v>0.04</v>
      </c>
      <c r="D12" s="16">
        <f>(A12*9.8/1000)/(C4)</f>
        <v>38923.5897435897</v>
      </c>
    </row>
    <row r="13" spans="1:4">
      <c r="A13" s="26">
        <v>204.9</v>
      </c>
      <c r="B13" s="26">
        <v>78.8</v>
      </c>
      <c r="C13" s="10">
        <f>(B13-B8)/B8</f>
        <v>0.0506666666666666</v>
      </c>
      <c r="D13" s="10">
        <f>(A13*9.8/1000)/(C4)</f>
        <v>51487.6923076923</v>
      </c>
    </row>
    <row r="14" spans="1:4">
      <c r="A14" s="26">
        <v>254.9</v>
      </c>
      <c r="B14" s="26">
        <v>79.2</v>
      </c>
      <c r="C14" s="10">
        <f>(B14-B8)/B8</f>
        <v>0.056</v>
      </c>
      <c r="D14" s="10">
        <f>(A14*9.8/1000)/(C4)</f>
        <v>64051.7948717949</v>
      </c>
    </row>
    <row r="15" spans="1:4">
      <c r="A15" s="26">
        <v>304.9</v>
      </c>
      <c r="B15" s="26">
        <v>79.9</v>
      </c>
      <c r="C15" s="10">
        <f>(B15-B8)/B8</f>
        <v>0.0653333333333334</v>
      </c>
      <c r="D15" s="10">
        <f>(A15*9.8/1000)/(C4)</f>
        <v>76615.8974358974</v>
      </c>
    </row>
    <row r="16" spans="1:4">
      <c r="A16" s="26">
        <v>354.9</v>
      </c>
      <c r="B16" s="26">
        <v>80</v>
      </c>
      <c r="C16" s="10">
        <f>(B16-B8)/B8</f>
        <v>0.0666666666666667</v>
      </c>
      <c r="D16" s="10">
        <f>(A16*9.8/1000)/(C4)</f>
        <v>89180</v>
      </c>
    </row>
    <row r="17" spans="1:4">
      <c r="A17" s="26">
        <v>404.9</v>
      </c>
      <c r="B17" s="26">
        <v>81</v>
      </c>
      <c r="C17" s="10">
        <f>(B17-B8)/B8</f>
        <v>0.08</v>
      </c>
      <c r="D17" s="10">
        <f>(A17*9.8/1000)/(C4)</f>
        <v>101744.102564103</v>
      </c>
    </row>
    <row r="18" spans="1:4">
      <c r="A18" s="26">
        <v>504.9</v>
      </c>
      <c r="B18" s="26">
        <v>83.2</v>
      </c>
      <c r="C18" s="10">
        <f>(B18-B8)/B8</f>
        <v>0.109333333333333</v>
      </c>
      <c r="D18" s="10">
        <f>(A18*9.8/1000)/(C4)</f>
        <v>126872.307692308</v>
      </c>
    </row>
    <row r="20" spans="1:3">
      <c r="A20" s="7" t="s">
        <v>152</v>
      </c>
      <c r="B20" s="10" t="s">
        <v>153</v>
      </c>
      <c r="C20" s="7" t="s">
        <v>154</v>
      </c>
    </row>
    <row r="21" spans="1:4">
      <c r="A21" s="7" t="s">
        <v>155</v>
      </c>
      <c r="B21" s="10" t="s">
        <v>156</v>
      </c>
      <c r="C21" s="10">
        <f>SLOPE(D8:D18,C8:C18)</f>
        <v>1257506.63871662</v>
      </c>
      <c r="D21" t="s">
        <v>169</v>
      </c>
    </row>
    <row r="22" spans="2:3">
      <c r="B22">
        <f>STEYX(D8:D18,C8:C18)</f>
        <v>9686.54052820652</v>
      </c>
      <c r="C22">
        <v>1260000</v>
      </c>
    </row>
    <row r="23" spans="2:3">
      <c r="B23">
        <f>1.96*B22</f>
        <v>18985.6194352848</v>
      </c>
      <c r="C23">
        <v>20000</v>
      </c>
    </row>
  </sheetData>
  <pageMargins left="0.7" right="0.7" top="0.75" bottom="0.75" header="0.3" footer="0.3"/>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D21" sqref="D21"/>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18" t="s">
        <v>74</v>
      </c>
    </row>
    <row r="2" ht="14.4" spans="1:2">
      <c r="A2" s="3" t="s">
        <v>142</v>
      </c>
      <c r="B2" s="4"/>
    </row>
    <row r="3" spans="1:3">
      <c r="A3" s="5" t="s">
        <v>143</v>
      </c>
      <c r="B3" s="6">
        <v>13.5</v>
      </c>
      <c r="C3" s="7" t="s">
        <v>144</v>
      </c>
    </row>
    <row r="4" spans="1:3">
      <c r="A4" s="8" t="s">
        <v>145</v>
      </c>
      <c r="B4" s="9">
        <v>2.5</v>
      </c>
      <c r="C4" s="10">
        <f>(B3/1000)*(B4/1000)</f>
        <v>3.375e-5</v>
      </c>
    </row>
    <row r="5" spans="1:2">
      <c r="A5" s="11"/>
      <c r="B5" s="11"/>
    </row>
    <row r="6" spans="1:2">
      <c r="A6" s="12" t="s">
        <v>146</v>
      </c>
      <c r="B6" s="12" t="s">
        <v>147</v>
      </c>
    </row>
    <row r="7" spans="1:4">
      <c r="A7" s="13" t="s">
        <v>148</v>
      </c>
      <c r="B7" s="14" t="s">
        <v>149</v>
      </c>
      <c r="C7" s="7" t="s">
        <v>150</v>
      </c>
      <c r="D7" s="7" t="s">
        <v>151</v>
      </c>
    </row>
    <row r="8" spans="1:4">
      <c r="A8" s="15">
        <v>0</v>
      </c>
      <c r="B8" s="15">
        <v>77</v>
      </c>
      <c r="C8" s="10">
        <v>0</v>
      </c>
      <c r="D8" s="10">
        <v>0</v>
      </c>
    </row>
    <row r="9" spans="1:4">
      <c r="A9" s="10">
        <v>15.6</v>
      </c>
      <c r="B9" s="10">
        <v>77.5</v>
      </c>
      <c r="C9" s="10">
        <f>(B9-B8)/B8</f>
        <v>0.00649350649350649</v>
      </c>
      <c r="D9" s="10">
        <f>(A9*9.8/1000)/(C4)</f>
        <v>4529.77777777778</v>
      </c>
    </row>
    <row r="10" spans="1:4">
      <c r="A10" s="10">
        <v>215.6</v>
      </c>
      <c r="B10" s="10">
        <v>79.3</v>
      </c>
      <c r="C10" s="10">
        <f>(B10-B8)/B8</f>
        <v>0.0298701298701298</v>
      </c>
      <c r="D10" s="10">
        <f>(A10*9.8/1000)/(C4)</f>
        <v>62603.8518518519</v>
      </c>
    </row>
    <row r="11" spans="1:4">
      <c r="A11" s="10">
        <v>315.6</v>
      </c>
      <c r="B11" s="10">
        <v>80.4</v>
      </c>
      <c r="C11" s="10">
        <f>(B11-B8)/B8</f>
        <v>0.0441558441558442</v>
      </c>
      <c r="D11" s="10">
        <f>(A11*9.8/1000)/(C4)</f>
        <v>91640.8888888889</v>
      </c>
    </row>
    <row r="12" spans="1:4">
      <c r="A12" s="10">
        <v>415.6</v>
      </c>
      <c r="B12" s="10">
        <v>82.5</v>
      </c>
      <c r="C12" s="10">
        <f>(B12-B8)/B8</f>
        <v>0.0714285714285714</v>
      </c>
      <c r="D12" s="10">
        <f>(A12*9.8/1000)/(C4)</f>
        <v>120677.925925926</v>
      </c>
    </row>
    <row r="13" spans="1:4">
      <c r="A13" s="10">
        <v>465.6</v>
      </c>
      <c r="B13" s="10">
        <v>82.9</v>
      </c>
      <c r="C13" s="10">
        <f>(B13-B8)/B8</f>
        <v>0.0766233766233767</v>
      </c>
      <c r="D13" s="10">
        <f>(A13*9.8/1000)/(C4)</f>
        <v>135196.444444444</v>
      </c>
    </row>
    <row r="14" spans="1:4">
      <c r="A14" s="10">
        <v>565.6</v>
      </c>
      <c r="B14" s="10">
        <v>84</v>
      </c>
      <c r="C14" s="10">
        <f>(B14-B8)/B8</f>
        <v>0.0909090909090909</v>
      </c>
      <c r="D14" s="10">
        <f>(A14*9.8/1000)/(C4)</f>
        <v>164233.481481482</v>
      </c>
    </row>
    <row r="15" spans="1:4">
      <c r="A15" s="10">
        <v>665.6</v>
      </c>
      <c r="B15" s="10">
        <v>85.4</v>
      </c>
      <c r="C15" s="10">
        <f>(B15-B8)/B8</f>
        <v>0.109090909090909</v>
      </c>
      <c r="D15" s="10">
        <f>(A15*9.8/1000)/(C4)</f>
        <v>193270.518518519</v>
      </c>
    </row>
    <row r="16" spans="1:4">
      <c r="A16" s="10">
        <v>765.6</v>
      </c>
      <c r="B16" s="10">
        <v>86.8</v>
      </c>
      <c r="C16" s="10">
        <f>(B16-B8)/B8</f>
        <v>0.127272727272727</v>
      </c>
      <c r="D16" s="10">
        <f>(A16*9.8/1000)/(C4)</f>
        <v>222307.555555556</v>
      </c>
    </row>
    <row r="17" spans="1:4">
      <c r="A17" s="10">
        <v>815.6</v>
      </c>
      <c r="B17" s="10">
        <v>87.4</v>
      </c>
      <c r="C17" s="10">
        <f>(B17-B8)/B8</f>
        <v>0.135064935064935</v>
      </c>
      <c r="D17" s="10">
        <f>(A17*9.8/1000)/(C4)</f>
        <v>236826.074074074</v>
      </c>
    </row>
    <row r="18" spans="1:4">
      <c r="A18" s="10"/>
      <c r="B18" s="10"/>
      <c r="C18" s="10"/>
      <c r="D18" s="10"/>
    </row>
    <row r="20" spans="1:3">
      <c r="A20" s="7" t="s">
        <v>152</v>
      </c>
      <c r="B20" s="10" t="s">
        <v>162</v>
      </c>
      <c r="C20" s="7" t="s">
        <v>154</v>
      </c>
    </row>
    <row r="21" spans="1:4">
      <c r="A21" s="7" t="s">
        <v>155</v>
      </c>
      <c r="B21" s="10" t="s">
        <v>156</v>
      </c>
      <c r="C21" s="10">
        <f>SLOPE(D8:D17,C8:C17)</f>
        <v>1743983.36520611</v>
      </c>
      <c r="D21" t="s">
        <v>170</v>
      </c>
    </row>
    <row r="22" spans="2:3">
      <c r="B22">
        <f>STEYX(D8:D18,C8:C18)</f>
        <v>6728.46475975982</v>
      </c>
      <c r="C22">
        <v>1740000</v>
      </c>
    </row>
    <row r="23" spans="2:3">
      <c r="B23">
        <f>1.96*B22</f>
        <v>13187.7909291292</v>
      </c>
      <c r="C23">
        <v>10000</v>
      </c>
    </row>
  </sheetData>
  <pageMargins left="0.7" right="0.7" top="0.75" bottom="0.75" header="0.3" footer="0.3"/>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D21" sqref="D21"/>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18" t="s">
        <v>76</v>
      </c>
    </row>
    <row r="2" ht="14.4" spans="1:2">
      <c r="A2" s="3" t="s">
        <v>142</v>
      </c>
      <c r="B2" s="4"/>
    </row>
    <row r="3" spans="1:3">
      <c r="A3" s="5" t="s">
        <v>143</v>
      </c>
      <c r="B3" s="6">
        <v>13</v>
      </c>
      <c r="C3" s="7" t="s">
        <v>144</v>
      </c>
    </row>
    <row r="4" spans="1:3">
      <c r="A4" s="8" t="s">
        <v>145</v>
      </c>
      <c r="B4" s="9">
        <v>3</v>
      </c>
      <c r="C4" s="10">
        <f>(B3/1000)*(B4/1000)</f>
        <v>3.9e-5</v>
      </c>
    </row>
    <row r="5" spans="1:2">
      <c r="A5" s="11"/>
      <c r="B5" s="11"/>
    </row>
    <row r="6" spans="1:2">
      <c r="A6" s="12" t="s">
        <v>146</v>
      </c>
      <c r="B6" s="12" t="s">
        <v>147</v>
      </c>
    </row>
    <row r="7" spans="1:4">
      <c r="A7" s="21" t="s">
        <v>148</v>
      </c>
      <c r="B7" s="22" t="s">
        <v>149</v>
      </c>
      <c r="C7" s="7" t="s">
        <v>150</v>
      </c>
      <c r="D7" s="7" t="s">
        <v>151</v>
      </c>
    </row>
    <row r="8" spans="1:4">
      <c r="A8" s="10">
        <v>0</v>
      </c>
      <c r="B8" s="10">
        <v>65</v>
      </c>
      <c r="C8" s="10">
        <v>0</v>
      </c>
      <c r="D8" s="10">
        <v>0</v>
      </c>
    </row>
    <row r="9" spans="1:4">
      <c r="A9" s="10">
        <v>15.2</v>
      </c>
      <c r="B9" s="10">
        <v>69</v>
      </c>
      <c r="C9" s="10">
        <f>(B9-B8)/B8</f>
        <v>0.0615384615384615</v>
      </c>
      <c r="D9" s="10">
        <f>(A9*9.8/1000)/(C4)</f>
        <v>3819.48717948718</v>
      </c>
    </row>
    <row r="10" spans="1:4">
      <c r="A10" s="10">
        <v>115.2</v>
      </c>
      <c r="B10" s="10">
        <v>70</v>
      </c>
      <c r="C10" s="10">
        <f>(B10-B8)/B8</f>
        <v>0.0769230769230769</v>
      </c>
      <c r="D10" s="10">
        <f>(A10*9.8/1000)/(C4)</f>
        <v>28947.6923076923</v>
      </c>
    </row>
    <row r="11" spans="1:4">
      <c r="A11" s="10">
        <v>215.2</v>
      </c>
      <c r="B11" s="10">
        <v>71</v>
      </c>
      <c r="C11" s="10">
        <f>(B11-B8)/B8</f>
        <v>0.0923076923076923</v>
      </c>
      <c r="D11" s="10">
        <f>(A11*9.8/1000)/(C4)</f>
        <v>54075.8974358974</v>
      </c>
    </row>
    <row r="12" spans="1:4">
      <c r="A12" s="10">
        <v>415.2</v>
      </c>
      <c r="B12" s="10">
        <v>74</v>
      </c>
      <c r="C12" s="10">
        <f>(B12-B8)/B8</f>
        <v>0.138461538461538</v>
      </c>
      <c r="D12" s="10">
        <f>(A12*9.8/1000)/(C4)</f>
        <v>104332.307692308</v>
      </c>
    </row>
    <row r="13" spans="1:4">
      <c r="A13" s="10">
        <v>615.2</v>
      </c>
      <c r="B13" s="10">
        <v>78</v>
      </c>
      <c r="C13" s="10">
        <f>(B13-B8)/B8</f>
        <v>0.2</v>
      </c>
      <c r="D13" s="10">
        <f>(A13*9.8/1000)/(C4)</f>
        <v>154588.717948718</v>
      </c>
    </row>
    <row r="14" spans="1:4">
      <c r="A14" s="10">
        <v>715.2</v>
      </c>
      <c r="B14" s="10">
        <v>80</v>
      </c>
      <c r="C14" s="10">
        <f>(B14-B8)/B8</f>
        <v>0.230769230769231</v>
      </c>
      <c r="D14" s="10">
        <f>(A14*9.8/1000)/(C4)</f>
        <v>179716.923076923</v>
      </c>
    </row>
    <row r="15" spans="1:4">
      <c r="A15" s="10">
        <v>815.2</v>
      </c>
      <c r="B15" s="10">
        <v>81</v>
      </c>
      <c r="C15" s="10">
        <f>(B15-B8)/B8</f>
        <v>0.246153846153846</v>
      </c>
      <c r="D15" s="10">
        <f>(A15*9.8/1000)/(C4)</f>
        <v>204845.128205128</v>
      </c>
    </row>
    <row r="16" spans="1:4">
      <c r="A16" s="10">
        <v>915.2</v>
      </c>
      <c r="B16" s="10">
        <v>83</v>
      </c>
      <c r="C16" s="10">
        <f>(B16-B8)/B8</f>
        <v>0.276923076923077</v>
      </c>
      <c r="D16" s="10">
        <f>(A16*9.8/1000)/(C4)</f>
        <v>229973.333333333</v>
      </c>
    </row>
    <row r="17" spans="1:4">
      <c r="A17" s="10">
        <v>1015.2</v>
      </c>
      <c r="B17" s="10">
        <v>84</v>
      </c>
      <c r="C17" s="10">
        <f>(B17-B8)/B8</f>
        <v>0.292307692307692</v>
      </c>
      <c r="D17" s="10">
        <f>(A17*9.8/1000)/(C4)</f>
        <v>255101.538461538</v>
      </c>
    </row>
    <row r="18" spans="1:4">
      <c r="A18" s="23"/>
      <c r="B18" s="23"/>
      <c r="C18" s="10"/>
      <c r="D18" s="10"/>
    </row>
    <row r="20" spans="1:3">
      <c r="A20" s="7" t="s">
        <v>152</v>
      </c>
      <c r="B20" s="10" t="s">
        <v>162</v>
      </c>
      <c r="C20" s="7" t="s">
        <v>154</v>
      </c>
    </row>
    <row r="21" spans="1:4">
      <c r="A21" s="7" t="s">
        <v>155</v>
      </c>
      <c r="B21" s="10" t="s">
        <v>167</v>
      </c>
      <c r="C21" s="10">
        <f>SLOPE(D8:D17,C8:C17)</f>
        <v>937320.017072129</v>
      </c>
      <c r="D21" t="s">
        <v>170</v>
      </c>
    </row>
    <row r="22" spans="2:3">
      <c r="B22">
        <f>STEYX(D8:D18,C8:C18)</f>
        <v>15253.2472602256</v>
      </c>
      <c r="C22">
        <v>940000</v>
      </c>
    </row>
    <row r="23" spans="2:3">
      <c r="B23">
        <f>1.96*B22</f>
        <v>29896.3646300422</v>
      </c>
      <c r="C23">
        <v>30000</v>
      </c>
    </row>
  </sheetData>
  <pageMargins left="0.7" right="0.7" top="0.75" bottom="0.75" header="0.3" footer="0.3"/>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D27" sqref="D27"/>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18" t="s">
        <v>89</v>
      </c>
    </row>
    <row r="2" ht="14.4" spans="1:2">
      <c r="A2" s="3" t="s">
        <v>142</v>
      </c>
      <c r="B2" s="4"/>
    </row>
    <row r="3" spans="1:3">
      <c r="A3" s="5" t="s">
        <v>143</v>
      </c>
      <c r="B3" s="6">
        <v>13.1</v>
      </c>
      <c r="C3" s="7" t="s">
        <v>144</v>
      </c>
    </row>
    <row r="4" spans="1:3">
      <c r="A4" s="8" t="s">
        <v>145</v>
      </c>
      <c r="B4" s="9">
        <v>2.8</v>
      </c>
      <c r="C4" s="10">
        <f>(B3/1000)*(B4/1000)</f>
        <v>3.668e-5</v>
      </c>
    </row>
    <row r="5" spans="1:2">
      <c r="A5" s="11"/>
      <c r="B5" s="11"/>
    </row>
    <row r="6" spans="1:2">
      <c r="A6" s="12" t="s">
        <v>146</v>
      </c>
      <c r="B6" s="12" t="s">
        <v>147</v>
      </c>
    </row>
    <row r="7" spans="1:4">
      <c r="A7" s="13" t="s">
        <v>148</v>
      </c>
      <c r="B7" s="14" t="s">
        <v>149</v>
      </c>
      <c r="C7" s="7" t="s">
        <v>150</v>
      </c>
      <c r="D7" s="7" t="s">
        <v>151</v>
      </c>
    </row>
    <row r="8" spans="1:4">
      <c r="A8" s="15">
        <v>0</v>
      </c>
      <c r="B8" s="15">
        <v>66</v>
      </c>
      <c r="C8" s="10">
        <v>0</v>
      </c>
      <c r="D8" s="10">
        <v>0</v>
      </c>
    </row>
    <row r="9" spans="1:4">
      <c r="A9" s="10">
        <v>15.3</v>
      </c>
      <c r="B9" s="10">
        <v>66</v>
      </c>
      <c r="C9" s="10">
        <f>(B9-B8)/B8</f>
        <v>0</v>
      </c>
      <c r="D9" s="10">
        <f>(A9*9.8/1000)/(C4)</f>
        <v>4087.78625954199</v>
      </c>
    </row>
    <row r="10" spans="1:4">
      <c r="A10" s="10">
        <v>65.3</v>
      </c>
      <c r="B10" s="10">
        <v>67</v>
      </c>
      <c r="C10" s="10">
        <f>(B10-B8)/B8</f>
        <v>0.0151515151515152</v>
      </c>
      <c r="D10" s="10">
        <f>(A10*9.8/1000)/(C4)</f>
        <v>17446.5648854962</v>
      </c>
    </row>
    <row r="11" spans="1:4">
      <c r="A11" s="10">
        <v>115.3</v>
      </c>
      <c r="B11" s="10">
        <v>68</v>
      </c>
      <c r="C11" s="10">
        <f>(B11-B8)/B8</f>
        <v>0.0303030303030303</v>
      </c>
      <c r="D11" s="10">
        <f>(A11*9.8/1000)/(C4)</f>
        <v>30805.3435114504</v>
      </c>
    </row>
    <row r="12" spans="1:4">
      <c r="A12" s="10">
        <v>165.3</v>
      </c>
      <c r="B12" s="10">
        <v>69</v>
      </c>
      <c r="C12" s="10">
        <f>(B12-B8)/B8</f>
        <v>0.0454545454545455</v>
      </c>
      <c r="D12" s="10">
        <f>(A12*9.8/1000)/(C4)</f>
        <v>44164.1221374046</v>
      </c>
    </row>
    <row r="13" spans="1:4">
      <c r="A13" s="19">
        <v>215.3</v>
      </c>
      <c r="B13" s="19">
        <v>70</v>
      </c>
      <c r="C13" s="19">
        <f>(B13-B8)/B8</f>
        <v>0.0606060606060606</v>
      </c>
      <c r="D13" s="19">
        <f>(A13*9.8/1000)/(C4)</f>
        <v>57522.9007633588</v>
      </c>
    </row>
    <row r="14" spans="1:4">
      <c r="A14" s="20">
        <v>265.3</v>
      </c>
      <c r="B14" s="20">
        <v>71</v>
      </c>
      <c r="C14" s="20">
        <f>(B14-B8)/B8</f>
        <v>0.0757575757575758</v>
      </c>
      <c r="D14" s="20">
        <f>(A14*9.8/1000)/(C4)</f>
        <v>70881.679389313</v>
      </c>
    </row>
    <row r="15" spans="1:4">
      <c r="A15" s="20">
        <v>315.3</v>
      </c>
      <c r="B15" s="20">
        <v>71</v>
      </c>
      <c r="C15" s="20">
        <f>(B15-B8)/B8</f>
        <v>0.0757575757575758</v>
      </c>
      <c r="D15" s="20">
        <f>(A15*9.8/1000)/(C4)</f>
        <v>84240.4580152672</v>
      </c>
    </row>
    <row r="16" spans="1:4">
      <c r="A16" s="10">
        <v>415.3</v>
      </c>
      <c r="B16" s="10">
        <v>73</v>
      </c>
      <c r="C16" s="10">
        <f>(B16-B8)/B8</f>
        <v>0.106060606060606</v>
      </c>
      <c r="D16" s="10">
        <f>(A16*9.8/1000)/(C4)</f>
        <v>110958.015267176</v>
      </c>
    </row>
    <row r="17" spans="1:4">
      <c r="A17" s="10">
        <v>515.3</v>
      </c>
      <c r="B17" s="10">
        <v>75</v>
      </c>
      <c r="C17" s="10">
        <f>(B17-B8)/B8</f>
        <v>0.136363636363636</v>
      </c>
      <c r="D17" s="10">
        <f>(A17*9.8/1000)/(C4)</f>
        <v>137675.572519084</v>
      </c>
    </row>
    <row r="18" spans="1:4">
      <c r="A18" s="10">
        <v>565.3</v>
      </c>
      <c r="B18" s="10">
        <v>76</v>
      </c>
      <c r="C18" s="10">
        <f>(B18-B8)/B8</f>
        <v>0.151515151515152</v>
      </c>
      <c r="D18" s="10">
        <f>(A18*9.8/1000)/(C4)</f>
        <v>151034.351145038</v>
      </c>
    </row>
    <row r="20" spans="1:3">
      <c r="A20" s="7" t="s">
        <v>152</v>
      </c>
      <c r="B20" s="10" t="s">
        <v>153</v>
      </c>
      <c r="C20" s="7" t="s">
        <v>154</v>
      </c>
    </row>
    <row r="21" spans="1:4">
      <c r="A21" s="7" t="s">
        <v>155</v>
      </c>
      <c r="B21" s="10" t="s">
        <v>167</v>
      </c>
      <c r="C21" s="10">
        <f>SLOPE(D8:D18,C8:C18)</f>
        <v>998243.673088948</v>
      </c>
      <c r="D21" t="s">
        <v>171</v>
      </c>
    </row>
    <row r="22" spans="2:3">
      <c r="B22">
        <f>STEYX(D8:D18,C8:C18)</f>
        <v>3975.32001503014</v>
      </c>
      <c r="C22">
        <v>1000000</v>
      </c>
    </row>
    <row r="23" spans="2:3">
      <c r="B23">
        <f>1.96*B22</f>
        <v>7791.62722945908</v>
      </c>
      <c r="C23">
        <v>10000</v>
      </c>
    </row>
  </sheetData>
  <pageMargins left="0.7" right="0.7" top="0.75" bottom="0.75" header="0.3" footer="0.3"/>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4"/>
  <sheetViews>
    <sheetView workbookViewId="0">
      <selection activeCell="I24" sqref="I24"/>
    </sheetView>
  </sheetViews>
  <sheetFormatPr defaultColWidth="9" defaultRowHeight="13.8" outlineLevelCol="3"/>
  <cols>
    <col min="1" max="1" width="18.5555555555556" customWidth="1"/>
    <col min="2" max="2" width="21" customWidth="1"/>
    <col min="3" max="3" width="24" customWidth="1"/>
    <col min="4" max="4" width="28.3333333333333" customWidth="1"/>
  </cols>
  <sheetData>
    <row r="1" ht="14.4" spans="1:2">
      <c r="A1" s="1" t="s">
        <v>141</v>
      </c>
      <c r="B1" s="2" t="s">
        <v>172</v>
      </c>
    </row>
    <row r="2" ht="14.4" spans="1:2">
      <c r="A2" s="3" t="s">
        <v>142</v>
      </c>
      <c r="B2" s="4"/>
    </row>
    <row r="3" spans="1:3">
      <c r="A3" s="5" t="s">
        <v>143</v>
      </c>
      <c r="B3" s="6">
        <v>13.2</v>
      </c>
      <c r="C3" s="7" t="s">
        <v>144</v>
      </c>
    </row>
    <row r="4" spans="1:3">
      <c r="A4" s="8" t="s">
        <v>145</v>
      </c>
      <c r="B4" s="9">
        <v>2.9</v>
      </c>
      <c r="C4" s="10">
        <f>(B3/1000)*(B4/1000)</f>
        <v>3.828e-5</v>
      </c>
    </row>
    <row r="5" spans="1:2">
      <c r="A5" s="11"/>
      <c r="B5" s="11"/>
    </row>
    <row r="6" spans="1:2">
      <c r="A6" s="12" t="s">
        <v>146</v>
      </c>
      <c r="B6" s="12" t="s">
        <v>147</v>
      </c>
    </row>
    <row r="7" spans="1:4">
      <c r="A7" s="13" t="s">
        <v>148</v>
      </c>
      <c r="B7" s="14" t="s">
        <v>149</v>
      </c>
      <c r="C7" s="7" t="s">
        <v>150</v>
      </c>
      <c r="D7" s="7" t="s">
        <v>151</v>
      </c>
    </row>
    <row r="8" spans="1:4">
      <c r="A8" s="15">
        <v>0</v>
      </c>
      <c r="B8" s="15">
        <v>69.2</v>
      </c>
      <c r="C8" s="10">
        <v>0</v>
      </c>
      <c r="D8" s="10">
        <v>0</v>
      </c>
    </row>
    <row r="9" spans="1:4">
      <c r="A9" s="10">
        <v>15.5</v>
      </c>
      <c r="B9" s="10">
        <v>69.2</v>
      </c>
      <c r="C9" s="16">
        <f>(B9-B8)/B8</f>
        <v>0</v>
      </c>
      <c r="D9" s="16">
        <f>(A9*9.8/1000)/(C4)</f>
        <v>3968.12957157785</v>
      </c>
    </row>
    <row r="10" spans="1:4">
      <c r="A10" s="10">
        <v>115.5</v>
      </c>
      <c r="B10" s="10">
        <v>70</v>
      </c>
      <c r="C10" s="10">
        <f>(B10-B8)/B8</f>
        <v>0.0115606936416185</v>
      </c>
      <c r="D10" s="10">
        <f>(A10*9.8/1000)/(C4)</f>
        <v>29568.9655172414</v>
      </c>
    </row>
    <row r="11" spans="1:4">
      <c r="A11" s="10">
        <v>165.5</v>
      </c>
      <c r="B11" s="10">
        <v>70.3</v>
      </c>
      <c r="C11" s="10">
        <f>(B11-B8)/B8</f>
        <v>0.0158959537572253</v>
      </c>
      <c r="D11" s="10">
        <f>(A11*9.8/1000)/(C4)</f>
        <v>42369.3834900732</v>
      </c>
    </row>
    <row r="12" spans="1:4">
      <c r="A12" s="10">
        <v>215.5</v>
      </c>
      <c r="B12" s="10">
        <v>70.9</v>
      </c>
      <c r="C12" s="10">
        <f>(B12-B8)/B8</f>
        <v>0.0245664739884393</v>
      </c>
      <c r="D12" s="10">
        <f>(A12*9.8/1000)/(C4)</f>
        <v>55169.8014629049</v>
      </c>
    </row>
    <row r="13" spans="1:4">
      <c r="A13" s="10">
        <v>265.5</v>
      </c>
      <c r="B13" s="10">
        <v>71.2</v>
      </c>
      <c r="C13" s="10">
        <f>(B13-B8)/B8</f>
        <v>0.0289017341040462</v>
      </c>
      <c r="D13" s="10">
        <f>(A13*9.8/1000)/(C4)</f>
        <v>67970.2194357367</v>
      </c>
    </row>
    <row r="14" spans="1:4">
      <c r="A14" s="10">
        <v>315.5</v>
      </c>
      <c r="B14" s="10">
        <v>71.8</v>
      </c>
      <c r="C14" s="10">
        <f>(B14-B8)/B8</f>
        <v>0.03757225433526</v>
      </c>
      <c r="D14" s="10">
        <f>(A14*9.8/1000)/(C4)</f>
        <v>80770.6374085684</v>
      </c>
    </row>
    <row r="15" spans="1:4">
      <c r="A15" s="10">
        <v>365.5</v>
      </c>
      <c r="B15" s="10">
        <v>72.2</v>
      </c>
      <c r="C15" s="10">
        <f>(B15-B8)/B8</f>
        <v>0.0433526011560694</v>
      </c>
      <c r="D15" s="10">
        <f>(A15*9.8/1000)/(C4)</f>
        <v>93571.0553814002</v>
      </c>
    </row>
    <row r="16" spans="1:4">
      <c r="A16" s="10">
        <v>415.5</v>
      </c>
      <c r="B16" s="10">
        <v>72.7</v>
      </c>
      <c r="C16" s="10">
        <f>(B16-B8)/B8</f>
        <v>0.0505780346820809</v>
      </c>
      <c r="D16" s="10">
        <f>(A16*9.8/1000)/(C4)</f>
        <v>106371.473354232</v>
      </c>
    </row>
    <row r="17" spans="1:4">
      <c r="A17" s="10">
        <v>465.5</v>
      </c>
      <c r="B17" s="10">
        <v>73.1</v>
      </c>
      <c r="C17" s="10">
        <f>(B17-B8)/B8</f>
        <v>0.05635838150289</v>
      </c>
      <c r="D17" s="10">
        <f>(A17*9.8/1000)/(C4)</f>
        <v>119171.891327064</v>
      </c>
    </row>
    <row r="18" spans="1:4">
      <c r="A18" s="10">
        <v>515.5</v>
      </c>
      <c r="B18" s="10">
        <v>73.5</v>
      </c>
      <c r="C18" s="10">
        <f>(B18-B8)/B8</f>
        <v>0.0621387283236994</v>
      </c>
      <c r="D18" s="10">
        <f>(A18*9.8/1000)/(C4)</f>
        <v>131972.309299896</v>
      </c>
    </row>
    <row r="20" spans="1:3">
      <c r="A20" s="7" t="s">
        <v>152</v>
      </c>
      <c r="B20" s="10" t="s">
        <v>162</v>
      </c>
      <c r="C20" s="7" t="s">
        <v>154</v>
      </c>
    </row>
    <row r="21" spans="1:4">
      <c r="A21" s="7" t="s">
        <v>155</v>
      </c>
      <c r="B21" s="10" t="s">
        <v>156</v>
      </c>
      <c r="C21" s="10">
        <f>SLOPE(D8:D18,C8:C18)</f>
        <v>2046708.39846955</v>
      </c>
      <c r="D21" t="s">
        <v>173</v>
      </c>
    </row>
    <row r="22" spans="1:2">
      <c r="A22" s="7" t="s">
        <v>174</v>
      </c>
      <c r="B22" s="10" t="s">
        <v>175</v>
      </c>
    </row>
    <row r="23" spans="2:3">
      <c r="B23" s="17">
        <f>STEYX(D8:D18,C8:C18)</f>
        <v>2828.53057072105</v>
      </c>
      <c r="C23">
        <v>2047000</v>
      </c>
    </row>
    <row r="24" spans="2:3">
      <c r="B24">
        <f>1.96*B23</f>
        <v>5543.91991861326</v>
      </c>
      <c r="C24">
        <v>10000</v>
      </c>
    </row>
  </sheetData>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SampleA Unmodified Material Gro</vt:lpstr>
      <vt:lpstr>SampleB Unmodified Polymer Grou</vt:lpstr>
      <vt:lpstr>SampleC Modified Material Group</vt:lpstr>
      <vt:lpstr>SampleD Modified Polymer Group</vt:lpstr>
      <vt:lpstr>normal distribution UN-poly</vt:lpstr>
      <vt:lpstr>normal distribution UN-mat</vt:lpstr>
      <vt:lpstr>section5 t-test</vt:lpstr>
      <vt:lpstr>section6 t-test-modified</vt:lpstr>
      <vt:lpstr>section7 z-test</vt:lpstr>
      <vt:lpstr>M2</vt:lpstr>
      <vt:lpstr>M6</vt:lpstr>
      <vt:lpstr>M11</vt:lpstr>
      <vt:lpstr>M30</vt:lpstr>
      <vt:lpstr>M35</vt:lpstr>
      <vt:lpstr>M40</vt:lpstr>
      <vt:lpstr>P2</vt:lpstr>
      <vt:lpstr>P5</vt:lpstr>
      <vt:lpstr>P8</vt:lpstr>
      <vt:lpstr>P12</vt:lpstr>
      <vt:lpstr>P13</vt:lpstr>
      <vt:lpstr>P22</vt:lpstr>
      <vt:lpstr>P24</vt:lpstr>
      <vt:lpstr>P37</vt:lpstr>
      <vt:lpstr>PB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huawei</dc:creator>
  <cp:lastModifiedBy>v</cp:lastModifiedBy>
  <dcterms:created xsi:type="dcterms:W3CDTF">2015-06-05T18:19:00Z</dcterms:created>
  <dcterms:modified xsi:type="dcterms:W3CDTF">2023-03-05T06:59:32Z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2052-11.1.0.12763</vt:lpwstr>
  </property>
  <property fmtid="{D5CDD505-2E9C-101B-9397-08002B2CF9AE}" pid="3" name="ICV">
    <vt:lpwstr>20DEE6C508BB42BFBDF057F638FD50F1</vt:lpwstr>
  </property>
</Properties>
</file>