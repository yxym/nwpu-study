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36.xml" ContentType="application/vnd.ms-office.chartcolorstyle+xml"/>
  <Override PartName="/xl/charts/colors37.xml" ContentType="application/vnd.ms-office.chartcolorstyle+xml"/>
  <Override PartName="/xl/charts/colors38.xml" ContentType="application/vnd.ms-office.chartcolorstyle+xml"/>
  <Override PartName="/xl/charts/colors39.xml" ContentType="application/vnd.ms-office.chartcolorstyle+xml"/>
  <Override PartName="/xl/charts/colors4.xml" ContentType="application/vnd.ms-office.chartcolorstyle+xml"/>
  <Override PartName="/xl/charts/colors40.xml" ContentType="application/vnd.ms-office.chartcolorstyle+xml"/>
  <Override PartName="/xl/charts/colors41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36.xml" ContentType="application/vnd.ms-office.chartstyle+xml"/>
  <Override PartName="/xl/charts/style37.xml" ContentType="application/vnd.ms-office.chartstyle+xml"/>
  <Override PartName="/xl/charts/style38.xml" ContentType="application/vnd.ms-office.chartstyle+xml"/>
  <Override PartName="/xl/charts/style39.xml" ContentType="application/vnd.ms-office.chartstyle+xml"/>
  <Override PartName="/xl/charts/style4.xml" ContentType="application/vnd.ms-office.chartstyle+xml"/>
  <Override PartName="/xl/charts/style40.xml" ContentType="application/vnd.ms-office.chartstyle+xml"/>
  <Override PartName="/xl/charts/style41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300" tabRatio="681" activeTab="8"/>
  </bookViews>
  <sheets>
    <sheet name="P1" sheetId="8" r:id="rId1"/>
    <sheet name="P2" sheetId="5" r:id="rId2"/>
    <sheet name="P3" sheetId="12" r:id="rId3"/>
    <sheet name="P4" sheetId="7" r:id="rId4"/>
    <sheet name="P5" sheetId="1" r:id="rId5"/>
    <sheet name="P6" sheetId="15" r:id="rId6"/>
    <sheet name="P7" sheetId="31" r:id="rId7"/>
    <sheet name="P8" sheetId="29" r:id="rId8"/>
    <sheet name="P9" sheetId="24" r:id="rId9"/>
    <sheet name="P10" sheetId="17" r:id="rId10"/>
    <sheet name="P11" sheetId="30" r:id="rId11"/>
    <sheet name="P12" sheetId="11" r:id="rId12"/>
    <sheet name="P13" sheetId="6" r:id="rId13"/>
    <sheet name="P14" sheetId="20" r:id="rId14"/>
    <sheet name="P15" sheetId="14" r:id="rId15"/>
    <sheet name="P16" sheetId="2" r:id="rId16"/>
    <sheet name="P17" sheetId="18" r:id="rId17"/>
    <sheet name="P18" sheetId="4" r:id="rId18"/>
    <sheet name="P19" sheetId="47" r:id="rId19"/>
    <sheet name="P20" sheetId="13" r:id="rId20"/>
    <sheet name="P21" sheetId="32" r:id="rId21"/>
    <sheet name="P22" sheetId="35" r:id="rId22"/>
    <sheet name="P23" sheetId="10" r:id="rId23"/>
    <sheet name="P24" sheetId="40" r:id="rId24"/>
    <sheet name="P25" sheetId="33" r:id="rId25"/>
    <sheet name="P26" sheetId="28" r:id="rId26"/>
    <sheet name="P27" sheetId="21" r:id="rId27"/>
    <sheet name="P28" sheetId="22" r:id="rId28"/>
    <sheet name="P29" sheetId="23" r:id="rId29"/>
    <sheet name="P30" sheetId="36" r:id="rId30"/>
    <sheet name="P31" sheetId="19" r:id="rId31"/>
    <sheet name="P32" sheetId="39" r:id="rId32"/>
    <sheet name="P33" sheetId="37" r:id="rId33"/>
    <sheet name="P34" sheetId="27" r:id="rId34"/>
    <sheet name="P35" sheetId="34" r:id="rId35"/>
    <sheet name="P36" sheetId="26" r:id="rId36"/>
    <sheet name="P37" sheetId="3" r:id="rId37"/>
    <sheet name="P38" sheetId="25" r:id="rId38"/>
    <sheet name="P39" sheetId="38" r:id="rId39"/>
    <sheet name="P40" sheetId="16" r:id="rId40"/>
    <sheet name="P41" sheetId="46" r:id="rId41"/>
  </sheets>
  <calcPr calcId="144525"/>
</workbook>
</file>

<file path=xl/sharedStrings.xml><?xml version="1.0" encoding="utf-8"?>
<sst xmlns="http://schemas.openxmlformats.org/spreadsheetml/2006/main" count="698" uniqueCount="62">
  <si>
    <t>Sample Number:</t>
  </si>
  <si>
    <t>P1</t>
  </si>
  <si>
    <t>Cross-section dimensions:</t>
  </si>
  <si>
    <t>Width / mm:</t>
  </si>
  <si>
    <t>Area (m2)</t>
  </si>
  <si>
    <t>Thickness / mm:</t>
  </si>
  <si>
    <t xml:space="preserve">Weight applied </t>
  </si>
  <si>
    <t>Distance between marks</t>
  </si>
  <si>
    <t>unit = grams</t>
  </si>
  <si>
    <t>unit = mm</t>
  </si>
  <si>
    <t>Strain</t>
  </si>
  <si>
    <t>Stress</t>
  </si>
  <si>
    <t>Mass Resin</t>
  </si>
  <si>
    <t>60 g</t>
  </si>
  <si>
    <t>Modulus</t>
  </si>
  <si>
    <t>Mass Crosslinker</t>
  </si>
  <si>
    <t>6 g</t>
  </si>
  <si>
    <t>P2</t>
  </si>
  <si>
    <t>P3</t>
  </si>
  <si>
    <t>60g</t>
  </si>
  <si>
    <t>5.9 g</t>
  </si>
  <si>
    <t>P4</t>
  </si>
  <si>
    <t>P5</t>
  </si>
  <si>
    <t>P6</t>
  </si>
  <si>
    <t>P7</t>
  </si>
  <si>
    <t>60.6 g</t>
  </si>
  <si>
    <t>6.1 g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</si>
  <si>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</si>
  <si>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</si>
  <si>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</si>
  <si>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</si>
  <si>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</si>
  <si>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</si>
  <si>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</si>
  <si>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</si>
  <si>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</si>
  <si>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</si>
  <si>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</si>
  <si>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</si>
  <si>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</si>
  <si>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</si>
  <si>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</si>
  <si>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</si>
  <si>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</si>
  <si>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</si>
  <si>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</si>
  <si>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</si>
  <si>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</si>
  <si>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</si>
  <si>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</si>
  <si>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</si>
  <si>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</si>
  <si>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</si>
  <si>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</si>
  <si>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</si>
  <si>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</si>
  <si>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</si>
  <si>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</si>
  <si>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 xml:space="preserve"> </t>
  </si>
  <si>
    <t>P39</t>
  </si>
  <si>
    <t>P40</t>
  </si>
  <si>
    <t>P41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</si>
</sst>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_ "/>
    <numFmt numFmtId="178" formatCode="0.00_ "/>
  </numFmts>
  <fonts count="23">
    <font>
      <sz val="11"/>
      <color theme="1"/>
      <name val="等线"/>
      <charset val="134"/>
      <scheme val="minor"/>
    </font>
    <font>
      <b/>
      <sz val="11"/>
      <color indexed="8"/>
      <name val="Calibri"/>
      <charset val="134"/>
    </font>
    <font>
      <b/>
      <sz val="11"/>
      <color theme="1"/>
      <name val="等线"/>
      <charset val="134"/>
      <scheme val="minor"/>
    </font>
    <font>
      <i/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/>
      <diagonal/>
    </border>
    <border>
      <left style="thin">
        <color indexed="8"/>
      </left>
      <right/>
      <top style="thin">
        <color indexed="10"/>
      </top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19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14" borderId="22" applyNumberFormat="0" applyAlignment="0" applyProtection="0">
      <alignment vertical="center"/>
    </xf>
    <xf numFmtId="0" fontId="17" fillId="14" borderId="18" applyNumberFormat="0" applyAlignment="0" applyProtection="0">
      <alignment vertical="center"/>
    </xf>
    <xf numFmtId="0" fontId="18" fillId="15" borderId="23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66">
    <xf numFmtId="0" fontId="0" fillId="0" borderId="0" xfId="0"/>
    <xf numFmtId="49" fontId="1" fillId="2" borderId="1" xfId="0" applyNumberFormat="1" applyFont="1" applyFill="1" applyBorder="1"/>
    <xf numFmtId="49" fontId="0" fillId="2" borderId="1" xfId="0" applyNumberFormat="1" applyFill="1" applyBorder="1"/>
    <xf numFmtId="49" fontId="1" fillId="2" borderId="2" xfId="0" applyNumberFormat="1" applyFont="1" applyFill="1" applyBorder="1"/>
    <xf numFmtId="0" fontId="0" fillId="2" borderId="3" xfId="0" applyFill="1" applyBorder="1"/>
    <xf numFmtId="49" fontId="0" fillId="2" borderId="4" xfId="0" applyNumberFormat="1" applyFill="1" applyBorder="1"/>
    <xf numFmtId="0" fontId="0" fillId="2" borderId="5" xfId="0" applyFill="1" applyBorder="1"/>
    <xf numFmtId="0" fontId="2" fillId="0" borderId="6" xfId="0" applyFont="1" applyBorder="1"/>
    <xf numFmtId="49" fontId="0" fillId="2" borderId="7" xfId="0" applyNumberFormat="1" applyFill="1" applyBorder="1"/>
    <xf numFmtId="0" fontId="0" fillId="2" borderId="8" xfId="0" applyFill="1" applyBorder="1"/>
    <xf numFmtId="0" fontId="0" fillId="0" borderId="6" xfId="0" applyBorder="1"/>
    <xf numFmtId="0" fontId="0" fillId="2" borderId="9" xfId="0" applyFill="1" applyBorder="1"/>
    <xf numFmtId="49" fontId="2" fillId="2" borderId="10" xfId="0" applyNumberFormat="1" applyFont="1" applyFill="1" applyBorder="1"/>
    <xf numFmtId="49" fontId="2" fillId="2" borderId="11" xfId="0" applyNumberFormat="1" applyFont="1" applyFill="1" applyBorder="1"/>
    <xf numFmtId="49" fontId="2" fillId="2" borderId="12" xfId="0" applyNumberFormat="1" applyFont="1" applyFill="1" applyBorder="1"/>
    <xf numFmtId="0" fontId="0" fillId="0" borderId="13" xfId="0" applyBorder="1"/>
    <xf numFmtId="49" fontId="0" fillId="0" borderId="6" xfId="0" applyNumberFormat="1" applyBorder="1"/>
    <xf numFmtId="176" fontId="0" fillId="0" borderId="13" xfId="0" applyNumberFormat="1" applyBorder="1"/>
    <xf numFmtId="176" fontId="0" fillId="0" borderId="6" xfId="0" applyNumberFormat="1" applyBorder="1"/>
    <xf numFmtId="0" fontId="0" fillId="0" borderId="6" xfId="0" applyFill="1" applyBorder="1"/>
    <xf numFmtId="0" fontId="0" fillId="3" borderId="6" xfId="0" applyFill="1" applyBorder="1"/>
    <xf numFmtId="177" fontId="0" fillId="0" borderId="13" xfId="0" applyNumberFormat="1" applyBorder="1"/>
    <xf numFmtId="177" fontId="0" fillId="0" borderId="6" xfId="0" applyNumberFormat="1" applyBorder="1"/>
    <xf numFmtId="0" fontId="2" fillId="0" borderId="0" xfId="0" applyFont="1"/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49" fontId="2" fillId="2" borderId="14" xfId="0" applyNumberFormat="1" applyFont="1" applyFill="1" applyBorder="1"/>
    <xf numFmtId="49" fontId="2" fillId="2" borderId="15" xfId="0" applyNumberFormat="1" applyFont="1" applyFill="1" applyBorder="1"/>
    <xf numFmtId="49" fontId="0" fillId="3" borderId="1" xfId="0" applyNumberFormat="1" applyFill="1" applyBorder="1"/>
    <xf numFmtId="178" fontId="0" fillId="0" borderId="13" xfId="0" applyNumberFormat="1" applyBorder="1"/>
    <xf numFmtId="178" fontId="0" fillId="0" borderId="6" xfId="0" applyNumberFormat="1" applyBorder="1"/>
    <xf numFmtId="178" fontId="0" fillId="4" borderId="6" xfId="0" applyNumberFormat="1" applyFill="1" applyBorder="1"/>
    <xf numFmtId="0" fontId="0" fillId="4" borderId="6" xfId="0" applyFill="1" applyBorder="1"/>
    <xf numFmtId="0" fontId="0" fillId="3" borderId="13" xfId="0" applyFill="1" applyBorder="1"/>
    <xf numFmtId="49" fontId="1" fillId="3" borderId="1" xfId="0" applyNumberFormat="1" applyFont="1" applyFill="1" applyBorder="1"/>
    <xf numFmtId="0" fontId="0" fillId="3" borderId="0" xfId="0" applyFill="1"/>
    <xf numFmtId="49" fontId="1" fillId="3" borderId="2" xfId="0" applyNumberFormat="1" applyFont="1" applyFill="1" applyBorder="1"/>
    <xf numFmtId="0" fontId="0" fillId="3" borderId="3" xfId="0" applyFill="1" applyBorder="1"/>
    <xf numFmtId="49" fontId="0" fillId="3" borderId="4" xfId="0" applyNumberFormat="1" applyFill="1" applyBorder="1"/>
    <xf numFmtId="0" fontId="0" fillId="3" borderId="5" xfId="0" applyFill="1" applyBorder="1"/>
    <xf numFmtId="0" fontId="2" fillId="3" borderId="6" xfId="0" applyFont="1" applyFill="1" applyBorder="1"/>
    <xf numFmtId="49" fontId="0" fillId="3" borderId="7" xfId="0" applyNumberFormat="1" applyFill="1" applyBorder="1"/>
    <xf numFmtId="0" fontId="0" fillId="3" borderId="8" xfId="0" applyFill="1" applyBorder="1"/>
    <xf numFmtId="0" fontId="0" fillId="3" borderId="9" xfId="0" applyFill="1" applyBorder="1"/>
    <xf numFmtId="49" fontId="2" fillId="3" borderId="10" xfId="0" applyNumberFormat="1" applyFont="1" applyFill="1" applyBorder="1"/>
    <xf numFmtId="49" fontId="2" fillId="3" borderId="11" xfId="0" applyNumberFormat="1" applyFont="1" applyFill="1" applyBorder="1"/>
    <xf numFmtId="49" fontId="2" fillId="3" borderId="12" xfId="0" applyNumberFormat="1" applyFont="1" applyFill="1" applyBorder="1"/>
    <xf numFmtId="49" fontId="1" fillId="2" borderId="1" xfId="0" applyNumberFormat="1" applyFont="1" applyFill="1" applyBorder="1" applyAlignment="1"/>
    <xf numFmtId="49" fontId="0" fillId="4" borderId="1" xfId="0" applyNumberFormat="1" applyFill="1" applyBorder="1" applyAlignment="1"/>
    <xf numFmtId="0" fontId="0" fillId="0" borderId="0" xfId="0" applyFill="1" applyAlignment="1"/>
    <xf numFmtId="49" fontId="1" fillId="2" borderId="2" xfId="0" applyNumberFormat="1" applyFont="1" applyFill="1" applyBorder="1" applyAlignment="1"/>
    <xf numFmtId="0" fontId="0" fillId="2" borderId="3" xfId="0" applyFill="1" applyBorder="1" applyAlignment="1"/>
    <xf numFmtId="49" fontId="0" fillId="2" borderId="4" xfId="0" applyNumberFormat="1" applyFill="1" applyBorder="1" applyAlignment="1"/>
    <xf numFmtId="0" fontId="0" fillId="2" borderId="16" xfId="0" applyFill="1" applyBorder="1" applyAlignment="1"/>
    <xf numFmtId="0" fontId="2" fillId="0" borderId="0" xfId="0" applyFont="1" applyFill="1" applyAlignment="1"/>
    <xf numFmtId="49" fontId="0" fillId="2" borderId="7" xfId="0" applyNumberFormat="1" applyFill="1" applyBorder="1" applyAlignment="1"/>
    <xf numFmtId="0" fontId="0" fillId="2" borderId="17" xfId="0" applyFill="1" applyBorder="1" applyAlignment="1"/>
    <xf numFmtId="0" fontId="0" fillId="2" borderId="9" xfId="0" applyFill="1" applyBorder="1" applyAlignment="1"/>
    <xf numFmtId="49" fontId="2" fillId="2" borderId="10" xfId="0" applyNumberFormat="1" applyFont="1" applyFill="1" applyBorder="1" applyAlignment="1"/>
    <xf numFmtId="49" fontId="2" fillId="2" borderId="11" xfId="0" applyNumberFormat="1" applyFont="1" applyFill="1" applyBorder="1" applyAlignment="1"/>
    <xf numFmtId="49" fontId="2" fillId="2" borderId="12" xfId="0" applyNumberFormat="1" applyFont="1" applyFill="1" applyBorder="1" applyAlignment="1"/>
    <xf numFmtId="0" fontId="2" fillId="0" borderId="6" xfId="0" applyFont="1" applyFill="1" applyBorder="1" applyAlignment="1"/>
    <xf numFmtId="0" fontId="0" fillId="0" borderId="13" xfId="0" applyFill="1" applyBorder="1" applyAlignment="1"/>
    <xf numFmtId="0" fontId="0" fillId="0" borderId="6" xfId="0" applyFill="1" applyBorder="1" applyAlignment="1"/>
    <xf numFmtId="0" fontId="0" fillId="3" borderId="6" xfId="0" applyFill="1" applyBorder="1" applyAlignment="1"/>
    <xf numFmtId="0" fontId="0" fillId="4" borderId="8" xfId="0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4" Type="http://schemas.openxmlformats.org/officeDocument/2006/relationships/sharedStrings" Target="sharedStrings.xml"/><Relationship Id="rId43" Type="http://schemas.openxmlformats.org/officeDocument/2006/relationships/styles" Target="styles.xml"/><Relationship Id="rId42" Type="http://schemas.openxmlformats.org/officeDocument/2006/relationships/theme" Target="theme/theme1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'P1'!$D$7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'P1'!$C$8:$C$18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0.00763358778625954</c:v>
                </c:pt>
                <c:pt idx="2">
                  <c:v>0.0381679389312977</c:v>
                </c:pt>
                <c:pt idx="3">
                  <c:v>0.0534351145038168</c:v>
                </c:pt>
                <c:pt idx="4">
                  <c:v>0.0687022900763359</c:v>
                </c:pt>
                <c:pt idx="5">
                  <c:v>0.099236641221374</c:v>
                </c:pt>
                <c:pt idx="6">
                  <c:v>0.100763358778626</c:v>
                </c:pt>
                <c:pt idx="7">
                  <c:v>0.114503816793893</c:v>
                </c:pt>
                <c:pt idx="8">
                  <c:v>0.129770992366412</c:v>
                </c:pt>
                <c:pt idx="9">
                  <c:v>0.183206106870229</c:v>
                </c:pt>
                <c:pt idx="10">
                  <c:v>0.206106870229008</c:v>
                </c:pt>
              </c:numCache>
            </c:numRef>
          </c:xVal>
          <c:yVal>
            <c:numRef>
              <c:f>'P1'!$D$8:$D$18</c:f>
              <c:numCache>
                <c:formatCode>General</c:formatCode>
                <c:ptCount val="11"/>
                <c:pt idx="0">
                  <c:v>0</c:v>
                </c:pt>
                <c:pt idx="1">
                  <c:v>5435.73333333333</c:v>
                </c:pt>
                <c:pt idx="2">
                  <c:v>31569.0666666667</c:v>
                </c:pt>
                <c:pt idx="3">
                  <c:v>57702.4</c:v>
                </c:pt>
                <c:pt idx="4">
                  <c:v>70769.0666666667</c:v>
                </c:pt>
                <c:pt idx="5">
                  <c:v>83835.7333333333</c:v>
                </c:pt>
                <c:pt idx="6">
                  <c:v>96902.4</c:v>
                </c:pt>
                <c:pt idx="7">
                  <c:v>109969.066666667</c:v>
                </c:pt>
                <c:pt idx="8">
                  <c:v>136102.4</c:v>
                </c:pt>
                <c:pt idx="9">
                  <c:v>162235.733333333</c:v>
                </c:pt>
                <c:pt idx="10">
                  <c:v>188369.066666667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725368"/>
        <c:axId val="746721840"/>
      </c:scatterChart>
      <c:valAx>
        <c:axId val="746725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6721840"/>
        <c:crosses val="autoZero"/>
        <c:crossBetween val="midCat"/>
      </c:valAx>
      <c:valAx>
        <c:axId val="74672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6725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'P2'!$D$7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'P2'!$C$8:$C$18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0.00694444444444444</c:v>
                </c:pt>
                <c:pt idx="2">
                  <c:v>0.0208333333333333</c:v>
                </c:pt>
                <c:pt idx="3">
                  <c:v>0.0444444444444445</c:v>
                </c:pt>
                <c:pt idx="4">
                  <c:v>0.0694444444444444</c:v>
                </c:pt>
                <c:pt idx="5">
                  <c:v>0.0833333333333333</c:v>
                </c:pt>
                <c:pt idx="6">
                  <c:v>0.118055555555556</c:v>
                </c:pt>
                <c:pt idx="7">
                  <c:v>0.138888888888889</c:v>
                </c:pt>
                <c:pt idx="8">
                  <c:v>0.198611111111111</c:v>
                </c:pt>
                <c:pt idx="9">
                  <c:v>0.263888888888889</c:v>
                </c:pt>
                <c:pt idx="10">
                  <c:v>0.323611111111111</c:v>
                </c:pt>
              </c:numCache>
            </c:numRef>
          </c:xVal>
          <c:yVal>
            <c:numRef>
              <c:f>'P2'!$D$8:$D$18</c:f>
              <c:numCache>
                <c:formatCode>General</c:formatCode>
                <c:ptCount val="11"/>
                <c:pt idx="0">
                  <c:v>0</c:v>
                </c:pt>
                <c:pt idx="1">
                  <c:v>4704</c:v>
                </c:pt>
                <c:pt idx="2">
                  <c:v>34857.8461538462</c:v>
                </c:pt>
                <c:pt idx="3">
                  <c:v>65011.6923076923</c:v>
                </c:pt>
                <c:pt idx="4">
                  <c:v>95165.5384615385</c:v>
                </c:pt>
                <c:pt idx="5">
                  <c:v>125319.384615385</c:v>
                </c:pt>
                <c:pt idx="6">
                  <c:v>155473.230769231</c:v>
                </c:pt>
                <c:pt idx="7">
                  <c:v>185627.076923077</c:v>
                </c:pt>
                <c:pt idx="8">
                  <c:v>245934.769230769</c:v>
                </c:pt>
                <c:pt idx="9">
                  <c:v>306242.461538462</c:v>
                </c:pt>
                <c:pt idx="10">
                  <c:v>366550.153846154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291752"/>
        <c:axId val="741293320"/>
      </c:scatterChart>
      <c:valAx>
        <c:axId val="74129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293320"/>
        <c:crosses val="autoZero"/>
        <c:crossBetween val="midCat"/>
      </c:valAx>
      <c:valAx>
        <c:axId val="74129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291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'P3'!$D$7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'P3'!$C$8:$C$18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0.0144927536231884</c:v>
                </c:pt>
                <c:pt idx="2">
                  <c:v>0.0869565217391304</c:v>
                </c:pt>
                <c:pt idx="3">
                  <c:v>0.130434782608696</c:v>
                </c:pt>
                <c:pt idx="4">
                  <c:v>0.159420289855072</c:v>
                </c:pt>
                <c:pt idx="5">
                  <c:v>0.217391304347826</c:v>
                </c:pt>
                <c:pt idx="6">
                  <c:v>0.260869565217391</c:v>
                </c:pt>
                <c:pt idx="7">
                  <c:v>0.318840579710145</c:v>
                </c:pt>
                <c:pt idx="8">
                  <c:v>0.347826086956522</c:v>
                </c:pt>
                <c:pt idx="9">
                  <c:v>0.36231884057971</c:v>
                </c:pt>
                <c:pt idx="10">
                  <c:v>0.391304347826087</c:v>
                </c:pt>
              </c:numCache>
            </c:numRef>
          </c:xVal>
          <c:yVal>
            <c:numRef>
              <c:f>'P3'!$D$8:$D$18</c:f>
              <c:numCache>
                <c:formatCode>General</c:formatCode>
                <c:ptCount val="11"/>
                <c:pt idx="0">
                  <c:v>0</c:v>
                </c:pt>
                <c:pt idx="1">
                  <c:v>3216.41025641026</c:v>
                </c:pt>
                <c:pt idx="2">
                  <c:v>28344.6153846154</c:v>
                </c:pt>
                <c:pt idx="3">
                  <c:v>40908.717948718</c:v>
                </c:pt>
                <c:pt idx="4">
                  <c:v>53472.8205128205</c:v>
                </c:pt>
                <c:pt idx="5">
                  <c:v>65961.5384615385</c:v>
                </c:pt>
                <c:pt idx="6">
                  <c:v>78525.641025641</c:v>
                </c:pt>
                <c:pt idx="7">
                  <c:v>83777.4358974359</c:v>
                </c:pt>
                <c:pt idx="8">
                  <c:v>88953.8461538462</c:v>
                </c:pt>
                <c:pt idx="9">
                  <c:v>92848.717948718</c:v>
                </c:pt>
                <c:pt idx="10">
                  <c:v>105412.820512821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718880"/>
        <c:axId val="536716136"/>
      </c:scatterChart>
      <c:valAx>
        <c:axId val="53671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716136"/>
        <c:crosses val="autoZero"/>
        <c:crossBetween val="midCat"/>
      </c:valAx>
      <c:valAx>
        <c:axId val="53671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71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'P4'!$D$7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71832895888014"/>
                  <c:y val="0.004212962962962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'P4'!$C$8:$C$18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0.0296296296296296</c:v>
                </c:pt>
                <c:pt idx="3">
                  <c:v>0.0385185185185184</c:v>
                </c:pt>
                <c:pt idx="4">
                  <c:v>0.0518518518518519</c:v>
                </c:pt>
                <c:pt idx="5">
                  <c:v>0.0592592592592593</c:v>
                </c:pt>
                <c:pt idx="6">
                  <c:v>0.0740740740740741</c:v>
                </c:pt>
                <c:pt idx="7">
                  <c:v>0.0962962962962963</c:v>
                </c:pt>
                <c:pt idx="8">
                  <c:v>0.140740740740741</c:v>
                </c:pt>
                <c:pt idx="9">
                  <c:v>0.162962962962963</c:v>
                </c:pt>
                <c:pt idx="10">
                  <c:v>0.185185185185185</c:v>
                </c:pt>
              </c:numCache>
            </c:numRef>
          </c:xVal>
          <c:yVal>
            <c:numRef>
              <c:f>'P4'!$D$8:$D$18</c:f>
              <c:numCache>
                <c:formatCode>General</c:formatCode>
                <c:ptCount val="11"/>
                <c:pt idx="0">
                  <c:v>0</c:v>
                </c:pt>
                <c:pt idx="1">
                  <c:v>1846.92307692308</c:v>
                </c:pt>
                <c:pt idx="2">
                  <c:v>20693.0769230769</c:v>
                </c:pt>
                <c:pt idx="3">
                  <c:v>39539.2307692308</c:v>
                </c:pt>
                <c:pt idx="4">
                  <c:v>58385.3846153846</c:v>
                </c:pt>
                <c:pt idx="5">
                  <c:v>77231.5384615385</c:v>
                </c:pt>
                <c:pt idx="6">
                  <c:v>96077.6923076923</c:v>
                </c:pt>
                <c:pt idx="7">
                  <c:v>133770</c:v>
                </c:pt>
                <c:pt idx="8">
                  <c:v>171462.307692308</c:v>
                </c:pt>
                <c:pt idx="9">
                  <c:v>209154.615384615</c:v>
                </c:pt>
                <c:pt idx="10">
                  <c:v>246846.923076923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724976"/>
        <c:axId val="746724192"/>
      </c:scatterChart>
      <c:valAx>
        <c:axId val="7467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6724192"/>
        <c:crosses val="autoZero"/>
        <c:crossBetween val="midCat"/>
      </c:valAx>
      <c:valAx>
        <c:axId val="7467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672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'P5'!$D$7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'P5'!$C$8:$C$15</c:f>
              <c:numCache>
                <c:formatCode>General</c:formatCode>
                <c:ptCount val="8"/>
                <c:pt idx="0">
                  <c:v>0</c:v>
                </c:pt>
                <c:pt idx="1">
                  <c:v>0.0428571428571429</c:v>
                </c:pt>
                <c:pt idx="2">
                  <c:v>0.0428571428571429</c:v>
                </c:pt>
                <c:pt idx="3">
                  <c:v>0.0714285714285714</c:v>
                </c:pt>
                <c:pt idx="4">
                  <c:v>0.0714285714285714</c:v>
                </c:pt>
                <c:pt idx="5">
                  <c:v>0.0857142857142857</c:v>
                </c:pt>
                <c:pt idx="6">
                  <c:v>0.0857142857142857</c:v>
                </c:pt>
                <c:pt idx="7">
                  <c:v>0.1</c:v>
                </c:pt>
              </c:numCache>
            </c:numRef>
          </c:xVal>
          <c:yVal>
            <c:numRef>
              <c:f>'P5'!$D$8:$D$15</c:f>
              <c:numCache>
                <c:formatCode>General</c:formatCode>
                <c:ptCount val="8"/>
                <c:pt idx="0">
                  <c:v>0</c:v>
                </c:pt>
                <c:pt idx="1">
                  <c:v>25128.2051282051</c:v>
                </c:pt>
                <c:pt idx="2">
                  <c:v>50256.4102564103</c:v>
                </c:pt>
                <c:pt idx="3">
                  <c:v>75384.6153846154</c:v>
                </c:pt>
                <c:pt idx="4">
                  <c:v>87948.717948718</c:v>
                </c:pt>
                <c:pt idx="5">
                  <c:v>100512.820512821</c:v>
                </c:pt>
                <c:pt idx="6">
                  <c:v>113076.923076923</c:v>
                </c:pt>
                <c:pt idx="7">
                  <c:v>125641.025641026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745232"/>
        <c:axId val="406874824"/>
      </c:scatterChart>
      <c:valAx>
        <c:axId val="5367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6874824"/>
        <c:crosses val="autoZero"/>
        <c:crossBetween val="midCat"/>
      </c:valAx>
      <c:valAx>
        <c:axId val="406874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7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'P6'!$C$8:$C$18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0.0214285714285714</c:v>
                </c:pt>
                <c:pt idx="3">
                  <c:v>0.0428571428571429</c:v>
                </c:pt>
                <c:pt idx="4">
                  <c:v>0.0642857142857143</c:v>
                </c:pt>
                <c:pt idx="5">
                  <c:v>0.0928571428571429</c:v>
                </c:pt>
                <c:pt idx="6">
                  <c:v>0.135714285714286</c:v>
                </c:pt>
                <c:pt idx="7">
                  <c:v>0.164285714285714</c:v>
                </c:pt>
                <c:pt idx="8">
                  <c:v>0.2</c:v>
                </c:pt>
                <c:pt idx="9">
                  <c:v>0.221428571428571</c:v>
                </c:pt>
                <c:pt idx="10">
                  <c:v>0.242857142857143</c:v>
                </c:pt>
              </c:numCache>
            </c:numRef>
          </c:xVal>
          <c:yVal>
            <c:numRef>
              <c:f>'P6'!$D$8:$D$18</c:f>
              <c:numCache>
                <c:formatCode>General</c:formatCode>
                <c:ptCount val="11"/>
                <c:pt idx="0">
                  <c:v>0</c:v>
                </c:pt>
                <c:pt idx="1">
                  <c:v>3844.61538461539</c:v>
                </c:pt>
                <c:pt idx="2">
                  <c:v>41536.9230769231</c:v>
                </c:pt>
                <c:pt idx="3">
                  <c:v>79229.2307692308</c:v>
                </c:pt>
                <c:pt idx="4">
                  <c:v>116921.538461538</c:v>
                </c:pt>
                <c:pt idx="5">
                  <c:v>154613.846153846</c:v>
                </c:pt>
                <c:pt idx="6">
                  <c:v>192306.153846154</c:v>
                </c:pt>
                <c:pt idx="7">
                  <c:v>229998.461538462</c:v>
                </c:pt>
                <c:pt idx="8">
                  <c:v>267690.769230769</c:v>
                </c:pt>
                <c:pt idx="9">
                  <c:v>305383.076923077</c:v>
                </c:pt>
                <c:pt idx="10">
                  <c:v>343075.384615385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49184"/>
        <c:axId val="688051928"/>
      </c:scatterChart>
      <c:valAx>
        <c:axId val="68804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8051928"/>
        <c:crosses val="autoZero"/>
        <c:crossBetween val="midCat"/>
      </c:valAx>
      <c:valAx>
        <c:axId val="68805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804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'P7'!$D$7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632355643044619"/>
                  <c:y val="-0.02819444444444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'P7'!$C$8:$C$18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0.0144927536231884</c:v>
                </c:pt>
                <c:pt idx="2">
                  <c:v>0.0289855072463768</c:v>
                </c:pt>
                <c:pt idx="3">
                  <c:v>0.0579710144927536</c:v>
                </c:pt>
                <c:pt idx="4">
                  <c:v>0.072463768115942</c:v>
                </c:pt>
                <c:pt idx="5">
                  <c:v>0.0869565217391304</c:v>
                </c:pt>
                <c:pt idx="6">
                  <c:v>0.0942028985507246</c:v>
                </c:pt>
                <c:pt idx="7">
                  <c:v>0.101449275362319</c:v>
                </c:pt>
                <c:pt idx="8">
                  <c:v>0.108695652173913</c:v>
                </c:pt>
                <c:pt idx="9">
                  <c:v>0.108695652173913</c:v>
                </c:pt>
                <c:pt idx="10">
                  <c:v>0.159420289855072</c:v>
                </c:pt>
              </c:numCache>
            </c:numRef>
          </c:xVal>
          <c:yVal>
            <c:numRef>
              <c:f>'P7'!$D$8:$D$18</c:f>
              <c:numCache>
                <c:formatCode>General</c:formatCode>
                <c:ptCount val="11"/>
                <c:pt idx="0">
                  <c:v>0</c:v>
                </c:pt>
                <c:pt idx="1">
                  <c:v>5081.48148148148</c:v>
                </c:pt>
                <c:pt idx="2">
                  <c:v>29279.012345679</c:v>
                </c:pt>
                <c:pt idx="3">
                  <c:v>53476.5432098766</c:v>
                </c:pt>
                <c:pt idx="4">
                  <c:v>77674.0740740741</c:v>
                </c:pt>
                <c:pt idx="5">
                  <c:v>101871.604938272</c:v>
                </c:pt>
                <c:pt idx="6">
                  <c:v>113970.37037037</c:v>
                </c:pt>
                <c:pt idx="7">
                  <c:v>126069.135802469</c:v>
                </c:pt>
                <c:pt idx="8">
                  <c:v>138167.901234568</c:v>
                </c:pt>
                <c:pt idx="9">
                  <c:v>150266.666666667</c:v>
                </c:pt>
                <c:pt idx="10">
                  <c:v>198661.728395062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717312"/>
        <c:axId val="536717704"/>
      </c:scatterChart>
      <c:valAx>
        <c:axId val="53671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717704"/>
        <c:crosses val="autoZero"/>
        <c:crossBetween val="midCat"/>
      </c:valAx>
      <c:valAx>
        <c:axId val="53671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71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'P8'!$D$7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'P8'!$C$8:$C$18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0.0072992700729927</c:v>
                </c:pt>
                <c:pt idx="2">
                  <c:v>0.0291970802919708</c:v>
                </c:pt>
                <c:pt idx="3">
                  <c:v>0.037956204379562</c:v>
                </c:pt>
                <c:pt idx="4">
                  <c:v>0.0437956204379562</c:v>
                </c:pt>
                <c:pt idx="5">
                  <c:v>0.0627737226277372</c:v>
                </c:pt>
                <c:pt idx="6">
                  <c:v>0.072992700729927</c:v>
                </c:pt>
                <c:pt idx="7">
                  <c:v>0.0817518248175182</c:v>
                </c:pt>
                <c:pt idx="8">
                  <c:v>0.0934306569343066</c:v>
                </c:pt>
                <c:pt idx="9">
                  <c:v>0.110948905109489</c:v>
                </c:pt>
                <c:pt idx="10">
                  <c:v>0.122627737226277</c:v>
                </c:pt>
              </c:numCache>
            </c:numRef>
          </c:xVal>
          <c:yVal>
            <c:numRef>
              <c:f>'P8'!$D$8:$D$18</c:f>
              <c:numCache>
                <c:formatCode>General</c:formatCode>
                <c:ptCount val="11"/>
                <c:pt idx="0">
                  <c:v>0</c:v>
                </c:pt>
                <c:pt idx="1">
                  <c:v>4173.07692307692</c:v>
                </c:pt>
                <c:pt idx="2">
                  <c:v>17634.6153846154</c:v>
                </c:pt>
                <c:pt idx="3">
                  <c:v>31096.1538461539</c:v>
                </c:pt>
                <c:pt idx="4">
                  <c:v>44557.6923076923</c:v>
                </c:pt>
                <c:pt idx="5">
                  <c:v>71480.7692307692</c:v>
                </c:pt>
                <c:pt idx="6">
                  <c:v>84942.3076923077</c:v>
                </c:pt>
                <c:pt idx="7">
                  <c:v>98403.8461538462</c:v>
                </c:pt>
                <c:pt idx="8">
                  <c:v>111865.384615385</c:v>
                </c:pt>
                <c:pt idx="9">
                  <c:v>138788.461538462</c:v>
                </c:pt>
                <c:pt idx="10">
                  <c:v>152250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600568"/>
        <c:axId val="533599000"/>
      </c:scatterChart>
      <c:valAx>
        <c:axId val="533600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599000"/>
        <c:crosses val="autoZero"/>
        <c:crossBetween val="midCat"/>
      </c:valAx>
      <c:valAx>
        <c:axId val="53359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600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'P9'!$D$7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'P9'!$C$8:$C$18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0.0256410256410257</c:v>
                </c:pt>
                <c:pt idx="2">
                  <c:v>0.048265460030166</c:v>
                </c:pt>
                <c:pt idx="3">
                  <c:v>0.0829562594268477</c:v>
                </c:pt>
                <c:pt idx="4">
                  <c:v>0.116138763197587</c:v>
                </c:pt>
                <c:pt idx="5">
                  <c:v>0.116138763197587</c:v>
                </c:pt>
                <c:pt idx="6">
                  <c:v>0.129713423831071</c:v>
                </c:pt>
                <c:pt idx="7">
                  <c:v>0.131221719457014</c:v>
                </c:pt>
                <c:pt idx="8">
                  <c:v>0.138763197586727</c:v>
                </c:pt>
                <c:pt idx="9">
                  <c:v>0.161387631975867</c:v>
                </c:pt>
                <c:pt idx="10">
                  <c:v>0.176470588235294</c:v>
                </c:pt>
              </c:numCache>
            </c:numRef>
          </c:xVal>
          <c:yVal>
            <c:numRef>
              <c:f>'P9'!$D$8:$D$18</c:f>
              <c:numCache>
                <c:formatCode>General</c:formatCode>
                <c:ptCount val="11"/>
                <c:pt idx="0">
                  <c:v>0</c:v>
                </c:pt>
                <c:pt idx="1">
                  <c:v>8310.4</c:v>
                </c:pt>
                <c:pt idx="2">
                  <c:v>60733.8666666667</c:v>
                </c:pt>
                <c:pt idx="3">
                  <c:v>113157.333333333</c:v>
                </c:pt>
                <c:pt idx="4">
                  <c:v>165424</c:v>
                </c:pt>
                <c:pt idx="5">
                  <c:v>170650.666666667</c:v>
                </c:pt>
                <c:pt idx="6">
                  <c:v>178647.466666667</c:v>
                </c:pt>
                <c:pt idx="7">
                  <c:v>181208.533333333</c:v>
                </c:pt>
                <c:pt idx="8">
                  <c:v>183821.866666667</c:v>
                </c:pt>
                <c:pt idx="9">
                  <c:v>217952</c:v>
                </c:pt>
                <c:pt idx="10">
                  <c:v>230966.4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208712"/>
        <c:axId val="697207144"/>
      </c:scatterChart>
      <c:valAx>
        <c:axId val="697208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207144"/>
        <c:crosses val="autoZero"/>
        <c:crossBetween val="midCat"/>
      </c:valAx>
      <c:valAx>
        <c:axId val="69720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208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'P10'!$D$7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'P10'!$C$8:$C$18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0.00680272108843537</c:v>
                </c:pt>
                <c:pt idx="2">
                  <c:v>0.0136054421768707</c:v>
                </c:pt>
                <c:pt idx="3">
                  <c:v>0.0272108843537415</c:v>
                </c:pt>
                <c:pt idx="4">
                  <c:v>0.0408163265306122</c:v>
                </c:pt>
                <c:pt idx="5">
                  <c:v>0.0952380952380952</c:v>
                </c:pt>
                <c:pt idx="6">
                  <c:v>0.142857142857143</c:v>
                </c:pt>
                <c:pt idx="7">
                  <c:v>0.19047619047619</c:v>
                </c:pt>
                <c:pt idx="8">
                  <c:v>0.224489795918367</c:v>
                </c:pt>
                <c:pt idx="9">
                  <c:v>0.238095238095238</c:v>
                </c:pt>
                <c:pt idx="10">
                  <c:v>0.26530612244898</c:v>
                </c:pt>
              </c:numCache>
            </c:numRef>
          </c:xVal>
          <c:yVal>
            <c:numRef>
              <c:f>'P10'!$D$8:$D$18</c:f>
              <c:numCache>
                <c:formatCode>General</c:formatCode>
                <c:ptCount val="11"/>
                <c:pt idx="0">
                  <c:v>0</c:v>
                </c:pt>
                <c:pt idx="1">
                  <c:v>6302.15384615385</c:v>
                </c:pt>
                <c:pt idx="2">
                  <c:v>36456</c:v>
                </c:pt>
                <c:pt idx="3">
                  <c:v>66609.8461538462</c:v>
                </c:pt>
                <c:pt idx="4">
                  <c:v>96763.6923076923</c:v>
                </c:pt>
                <c:pt idx="5">
                  <c:v>157071.384615385</c:v>
                </c:pt>
                <c:pt idx="6">
                  <c:v>217379.076923077</c:v>
                </c:pt>
                <c:pt idx="7">
                  <c:v>277566.153846154</c:v>
                </c:pt>
                <c:pt idx="8">
                  <c:v>307720</c:v>
                </c:pt>
                <c:pt idx="9">
                  <c:v>337873.846153846</c:v>
                </c:pt>
                <c:pt idx="10">
                  <c:v>368027.692307692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716528"/>
        <c:axId val="741292536"/>
      </c:scatterChart>
      <c:valAx>
        <c:axId val="53671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292536"/>
        <c:crosses val="autoZero"/>
        <c:crossBetween val="midCat"/>
      </c:valAx>
      <c:valAx>
        <c:axId val="741292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71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'P11'!$D$7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'P11'!$C$8:$C$18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0.00282485875706219</c:v>
                </c:pt>
                <c:pt idx="2">
                  <c:v>0.0197740112994351</c:v>
                </c:pt>
                <c:pt idx="3">
                  <c:v>0.0324858757062147</c:v>
                </c:pt>
                <c:pt idx="4">
                  <c:v>0.0466101694915254</c:v>
                </c:pt>
                <c:pt idx="5">
                  <c:v>0.0536723163841808</c:v>
                </c:pt>
                <c:pt idx="6">
                  <c:v>0.0621468926553673</c:v>
                </c:pt>
                <c:pt idx="7">
                  <c:v>0.0663841807909605</c:v>
                </c:pt>
                <c:pt idx="8">
                  <c:v>0.0720338983050849</c:v>
                </c:pt>
                <c:pt idx="9">
                  <c:v>0.0889830508474576</c:v>
                </c:pt>
                <c:pt idx="10">
                  <c:v>0.135593220338983</c:v>
                </c:pt>
              </c:numCache>
            </c:numRef>
          </c:xVal>
          <c:yVal>
            <c:numRef>
              <c:f>'P11'!$D$8:$D$18</c:f>
              <c:numCache>
                <c:formatCode>General</c:formatCode>
                <c:ptCount val="11"/>
                <c:pt idx="0">
                  <c:v>0</c:v>
                </c:pt>
                <c:pt idx="1">
                  <c:v>3835.85858585859</c:v>
                </c:pt>
                <c:pt idx="2">
                  <c:v>28583.3333333333</c:v>
                </c:pt>
                <c:pt idx="3">
                  <c:v>53330.8080808081</c:v>
                </c:pt>
                <c:pt idx="4">
                  <c:v>65704.5454545455</c:v>
                </c:pt>
                <c:pt idx="5">
                  <c:v>78078.2828282828</c:v>
                </c:pt>
                <c:pt idx="6">
                  <c:v>90452.0202020202</c:v>
                </c:pt>
                <c:pt idx="7">
                  <c:v>102825.757575758</c:v>
                </c:pt>
                <c:pt idx="8">
                  <c:v>115199.494949495</c:v>
                </c:pt>
                <c:pt idx="9">
                  <c:v>139946.96969697</c:v>
                </c:pt>
                <c:pt idx="10">
                  <c:v>164694.444444444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863952"/>
        <c:axId val="681862384"/>
      </c:scatterChart>
      <c:valAx>
        <c:axId val="68186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62384"/>
        <c:crosses val="autoZero"/>
        <c:crossBetween val="midCat"/>
      </c:valAx>
      <c:valAx>
        <c:axId val="68186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6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'P12'!$D$7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'P12'!$C$8:$C$17</c:f>
              <c:numCache>
                <c:formatCode>General</c:formatCode>
                <c:ptCount val="10"/>
                <c:pt idx="0">
                  <c:v>0</c:v>
                </c:pt>
                <c:pt idx="1">
                  <c:v>0.012987012987013</c:v>
                </c:pt>
                <c:pt idx="2">
                  <c:v>0.038961038961039</c:v>
                </c:pt>
                <c:pt idx="3">
                  <c:v>0.051948051948052</c:v>
                </c:pt>
                <c:pt idx="4">
                  <c:v>0.0649350649350649</c:v>
                </c:pt>
                <c:pt idx="5">
                  <c:v>0.0844155844155844</c:v>
                </c:pt>
                <c:pt idx="6">
                  <c:v>0.103896103896104</c:v>
                </c:pt>
                <c:pt idx="7">
                  <c:v>0.116883116883117</c:v>
                </c:pt>
                <c:pt idx="8">
                  <c:v>0.12987012987013</c:v>
                </c:pt>
                <c:pt idx="9">
                  <c:v>0.181818181818182</c:v>
                </c:pt>
              </c:numCache>
            </c:numRef>
          </c:xVal>
          <c:yVal>
            <c:numRef>
              <c:f>'P12'!$D$8:$D$17</c:f>
              <c:numCache>
                <c:formatCode>General</c:formatCode>
                <c:ptCount val="10"/>
                <c:pt idx="0">
                  <c:v>0</c:v>
                </c:pt>
                <c:pt idx="1">
                  <c:v>55508.2051282051</c:v>
                </c:pt>
                <c:pt idx="2">
                  <c:v>68072.3076923077</c:v>
                </c:pt>
                <c:pt idx="3">
                  <c:v>80636.4102564103</c:v>
                </c:pt>
                <c:pt idx="4">
                  <c:v>93200.5128205128</c:v>
                </c:pt>
                <c:pt idx="5">
                  <c:v>105764.615384615</c:v>
                </c:pt>
                <c:pt idx="6">
                  <c:v>118328.717948718</c:v>
                </c:pt>
                <c:pt idx="7">
                  <c:v>130892.820512821</c:v>
                </c:pt>
                <c:pt idx="8">
                  <c:v>143456.923076923</c:v>
                </c:pt>
                <c:pt idx="9">
                  <c:v>168585.128205128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718488"/>
        <c:axId val="536716920"/>
      </c:scatterChart>
      <c:valAx>
        <c:axId val="536718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716920"/>
        <c:crosses val="autoZero"/>
        <c:crossBetween val="midCat"/>
      </c:valAx>
      <c:valAx>
        <c:axId val="536716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718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'P13'!$D$7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'P13'!$C$8:$C$18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0.0266666666666667</c:v>
                </c:pt>
                <c:pt idx="3">
                  <c:v>0.04</c:v>
                </c:pt>
                <c:pt idx="4">
                  <c:v>0.04</c:v>
                </c:pt>
                <c:pt idx="5">
                  <c:v>0.0506666666666666</c:v>
                </c:pt>
                <c:pt idx="6">
                  <c:v>0.056</c:v>
                </c:pt>
                <c:pt idx="7">
                  <c:v>0.0653333333333334</c:v>
                </c:pt>
                <c:pt idx="8">
                  <c:v>0.0666666666666667</c:v>
                </c:pt>
                <c:pt idx="9">
                  <c:v>0.08</c:v>
                </c:pt>
                <c:pt idx="10">
                  <c:v>0.109333333333333</c:v>
                </c:pt>
              </c:numCache>
            </c:numRef>
          </c:xVal>
          <c:yVal>
            <c:numRef>
              <c:f>'P13'!$D$8:$D$18</c:f>
              <c:numCache>
                <c:formatCode>General</c:formatCode>
                <c:ptCount val="11"/>
                <c:pt idx="0">
                  <c:v>0</c:v>
                </c:pt>
                <c:pt idx="1">
                  <c:v>1231.28205128205</c:v>
                </c:pt>
                <c:pt idx="2">
                  <c:v>13795.3846153846</c:v>
                </c:pt>
                <c:pt idx="3">
                  <c:v>26359.4871794872</c:v>
                </c:pt>
                <c:pt idx="4">
                  <c:v>38923.5897435897</c:v>
                </c:pt>
                <c:pt idx="5">
                  <c:v>51487.6923076923</c:v>
                </c:pt>
                <c:pt idx="6">
                  <c:v>64051.7948717949</c:v>
                </c:pt>
                <c:pt idx="7">
                  <c:v>76615.8974358974</c:v>
                </c:pt>
                <c:pt idx="8">
                  <c:v>89180</c:v>
                </c:pt>
                <c:pt idx="9">
                  <c:v>101744.102564103</c:v>
                </c:pt>
                <c:pt idx="10">
                  <c:v>126872.307692308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75216"/>
        <c:axId val="406876000"/>
      </c:scatterChart>
      <c:valAx>
        <c:axId val="40687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6876000"/>
        <c:crosses val="autoZero"/>
        <c:crossBetween val="midCat"/>
      </c:valAx>
      <c:valAx>
        <c:axId val="40687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6875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'P14'!$D$7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'P14'!$C$8:$C$18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0.0197368421052632</c:v>
                </c:pt>
                <c:pt idx="3">
                  <c:v>0.0394736842105263</c:v>
                </c:pt>
                <c:pt idx="4">
                  <c:v>0.0526315789473684</c:v>
                </c:pt>
                <c:pt idx="5">
                  <c:v>0.0723684210526316</c:v>
                </c:pt>
                <c:pt idx="6">
                  <c:v>0.0921052631578947</c:v>
                </c:pt>
                <c:pt idx="7">
                  <c:v>0.118421052631579</c:v>
                </c:pt>
                <c:pt idx="8">
                  <c:v>0.138157894736842</c:v>
                </c:pt>
                <c:pt idx="9">
                  <c:v>0.157894736842105</c:v>
                </c:pt>
                <c:pt idx="10">
                  <c:v>0.210526315789474</c:v>
                </c:pt>
              </c:numCache>
            </c:numRef>
          </c:xVal>
          <c:yVal>
            <c:numRef>
              <c:f>'P14'!$D$8:$D$18</c:f>
              <c:numCache>
                <c:formatCode>General</c:formatCode>
                <c:ptCount val="11"/>
                <c:pt idx="0">
                  <c:v>0</c:v>
                </c:pt>
                <c:pt idx="1">
                  <c:v>1400</c:v>
                </c:pt>
                <c:pt idx="2">
                  <c:v>15400</c:v>
                </c:pt>
                <c:pt idx="3">
                  <c:v>29400</c:v>
                </c:pt>
                <c:pt idx="4">
                  <c:v>43400</c:v>
                </c:pt>
                <c:pt idx="5">
                  <c:v>57400</c:v>
                </c:pt>
                <c:pt idx="6">
                  <c:v>71400</c:v>
                </c:pt>
                <c:pt idx="7">
                  <c:v>85400</c:v>
                </c:pt>
                <c:pt idx="8">
                  <c:v>99400</c:v>
                </c:pt>
                <c:pt idx="9">
                  <c:v>113400</c:v>
                </c:pt>
                <c:pt idx="10">
                  <c:v>141400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598608"/>
        <c:axId val="681864736"/>
      </c:scatterChart>
      <c:valAx>
        <c:axId val="53359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64736"/>
        <c:crosses val="autoZero"/>
        <c:crossBetween val="midCat"/>
      </c:valAx>
      <c:valAx>
        <c:axId val="68186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59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'P15'!$D$7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'P15'!$C$8:$C$18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0.0136986301369863</c:v>
                </c:pt>
                <c:pt idx="3">
                  <c:v>0.0273972602739726</c:v>
                </c:pt>
                <c:pt idx="4">
                  <c:v>0.0342465753424658</c:v>
                </c:pt>
                <c:pt idx="5">
                  <c:v>0.0410958904109589</c:v>
                </c:pt>
                <c:pt idx="6">
                  <c:v>0.0547945205479452</c:v>
                </c:pt>
                <c:pt idx="7">
                  <c:v>0.0684931506849315</c:v>
                </c:pt>
                <c:pt idx="8">
                  <c:v>0.0821917808219178</c:v>
                </c:pt>
                <c:pt idx="9">
                  <c:v>0.0958904109589041</c:v>
                </c:pt>
                <c:pt idx="10">
                  <c:v>0.10958904109589</c:v>
                </c:pt>
              </c:numCache>
            </c:numRef>
          </c:xVal>
          <c:yVal>
            <c:numRef>
              <c:f>'P15'!$D$8:$D$18</c:f>
              <c:numCache>
                <c:formatCode>General</c:formatCode>
                <c:ptCount val="11"/>
                <c:pt idx="0">
                  <c:v>0</c:v>
                </c:pt>
                <c:pt idx="1">
                  <c:v>3869.74358974359</c:v>
                </c:pt>
                <c:pt idx="2">
                  <c:v>28997.9487179487</c:v>
                </c:pt>
                <c:pt idx="3">
                  <c:v>54126.1538461539</c:v>
                </c:pt>
                <c:pt idx="4">
                  <c:v>79254.358974359</c:v>
                </c:pt>
                <c:pt idx="5">
                  <c:v>104382.564102564</c:v>
                </c:pt>
                <c:pt idx="6">
                  <c:v>129510.769230769</c:v>
                </c:pt>
                <c:pt idx="7">
                  <c:v>154638.974358974</c:v>
                </c:pt>
                <c:pt idx="8">
                  <c:v>179767.179487179</c:v>
                </c:pt>
                <c:pt idx="9">
                  <c:v>204895.384615385</c:v>
                </c:pt>
                <c:pt idx="10">
                  <c:v>230023.58974359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675248"/>
        <c:axId val="534676032"/>
      </c:scatterChart>
      <c:valAx>
        <c:axId val="53467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76032"/>
        <c:crosses val="autoZero"/>
        <c:crossBetween val="midCat"/>
      </c:valAx>
      <c:valAx>
        <c:axId val="53467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7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'P16'!$D$7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'P16'!$C$8:$C$18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0.0147058823529412</c:v>
                </c:pt>
                <c:pt idx="2">
                  <c:v>0.0294117647058824</c:v>
                </c:pt>
                <c:pt idx="3">
                  <c:v>0.0441176470588235</c:v>
                </c:pt>
                <c:pt idx="4">
                  <c:v>0.0735294117647059</c:v>
                </c:pt>
                <c:pt idx="5">
                  <c:v>0.0882352941176471</c:v>
                </c:pt>
                <c:pt idx="6">
                  <c:v>0.117647058823529</c:v>
                </c:pt>
                <c:pt idx="7">
                  <c:v>0.132352941176471</c:v>
                </c:pt>
                <c:pt idx="8">
                  <c:v>0.147058823529412</c:v>
                </c:pt>
                <c:pt idx="9">
                  <c:v>0.161764705882353</c:v>
                </c:pt>
                <c:pt idx="10">
                  <c:v>0.176470588235294</c:v>
                </c:pt>
              </c:numCache>
            </c:numRef>
          </c:xVal>
          <c:yVal>
            <c:numRef>
              <c:f>'P16'!$D$8:$D$18</c:f>
              <c:numCache>
                <c:formatCode>General</c:formatCode>
                <c:ptCount val="11"/>
                <c:pt idx="0">
                  <c:v>0</c:v>
                </c:pt>
                <c:pt idx="1">
                  <c:v>3844.61538461539</c:v>
                </c:pt>
                <c:pt idx="2">
                  <c:v>28972.8205128205</c:v>
                </c:pt>
                <c:pt idx="3">
                  <c:v>54101.0256410256</c:v>
                </c:pt>
                <c:pt idx="4">
                  <c:v>79229.2307692308</c:v>
                </c:pt>
                <c:pt idx="5">
                  <c:v>104357.435897436</c:v>
                </c:pt>
                <c:pt idx="6">
                  <c:v>129485.641025641</c:v>
                </c:pt>
                <c:pt idx="7">
                  <c:v>142049.743589744</c:v>
                </c:pt>
                <c:pt idx="8">
                  <c:v>154613.846153846</c:v>
                </c:pt>
                <c:pt idx="9">
                  <c:v>167177.948717949</c:v>
                </c:pt>
                <c:pt idx="10">
                  <c:v>179742.051282051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292144"/>
        <c:axId val="741290968"/>
      </c:scatterChart>
      <c:valAx>
        <c:axId val="74129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290968"/>
        <c:crosses val="autoZero"/>
        <c:crossBetween val="midCat"/>
      </c:valAx>
      <c:valAx>
        <c:axId val="741290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29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'P17'!$D$7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'P17'!$C$8:$C$18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0.00714285714285714</c:v>
                </c:pt>
                <c:pt idx="2">
                  <c:v>0.0571428571428571</c:v>
                </c:pt>
                <c:pt idx="3">
                  <c:v>0.121428571428571</c:v>
                </c:pt>
                <c:pt idx="4">
                  <c:v>0.171428571428571</c:v>
                </c:pt>
                <c:pt idx="5">
                  <c:v>0.207142857142857</c:v>
                </c:pt>
                <c:pt idx="6">
                  <c:v>0.271428571428571</c:v>
                </c:pt>
                <c:pt idx="7">
                  <c:v>0.321428571428571</c:v>
                </c:pt>
                <c:pt idx="8">
                  <c:v>0.35</c:v>
                </c:pt>
                <c:pt idx="9">
                  <c:v>0.371428571428571</c:v>
                </c:pt>
                <c:pt idx="10">
                  <c:v>0.392857142857143</c:v>
                </c:pt>
              </c:numCache>
            </c:numRef>
          </c:xVal>
          <c:yVal>
            <c:numRef>
              <c:f>'P17'!$D$8:$D$18</c:f>
              <c:numCache>
                <c:formatCode>General</c:formatCode>
                <c:ptCount val="11"/>
                <c:pt idx="0">
                  <c:v>0</c:v>
                </c:pt>
                <c:pt idx="1">
                  <c:v>8192.8</c:v>
                </c:pt>
                <c:pt idx="2">
                  <c:v>86592.8</c:v>
                </c:pt>
                <c:pt idx="3">
                  <c:v>164992.8</c:v>
                </c:pt>
                <c:pt idx="4">
                  <c:v>243392.8</c:v>
                </c:pt>
                <c:pt idx="5">
                  <c:v>282592.8</c:v>
                </c:pt>
                <c:pt idx="6">
                  <c:v>360992.8</c:v>
                </c:pt>
                <c:pt idx="7">
                  <c:v>439392.8</c:v>
                </c:pt>
                <c:pt idx="8">
                  <c:v>478592.8</c:v>
                </c:pt>
                <c:pt idx="9">
                  <c:v>517792.8</c:v>
                </c:pt>
                <c:pt idx="10">
                  <c:v>556992.8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601352"/>
        <c:axId val="533601744"/>
      </c:scatterChart>
      <c:valAx>
        <c:axId val="533601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601744"/>
        <c:crosses val="autoZero"/>
        <c:crossBetween val="midCat"/>
      </c:valAx>
      <c:valAx>
        <c:axId val="53360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601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'P18'!$D$7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'P18'!$C$8:$C$18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0.0197368421052632</c:v>
                </c:pt>
                <c:pt idx="2">
                  <c:v>0.0315789473684211</c:v>
                </c:pt>
                <c:pt idx="3">
                  <c:v>0.056578947368421</c:v>
                </c:pt>
                <c:pt idx="4">
                  <c:v>0.0789473684210526</c:v>
                </c:pt>
                <c:pt idx="5">
                  <c:v>0.103947368421053</c:v>
                </c:pt>
                <c:pt idx="6">
                  <c:v>0.11578947368421</c:v>
                </c:pt>
                <c:pt idx="7">
                  <c:v>0.131578947368421</c:v>
                </c:pt>
                <c:pt idx="8">
                  <c:v>0.148684210526316</c:v>
                </c:pt>
                <c:pt idx="9">
                  <c:v>0.168421052631579</c:v>
                </c:pt>
                <c:pt idx="10">
                  <c:v>0.171052631578947</c:v>
                </c:pt>
              </c:numCache>
            </c:numRef>
          </c:xVal>
          <c:yVal>
            <c:numRef>
              <c:f>'P18'!$D$8:$D$18</c:f>
              <c:numCache>
                <c:formatCode>General</c:formatCode>
                <c:ptCount val="11"/>
                <c:pt idx="0">
                  <c:v>0</c:v>
                </c:pt>
                <c:pt idx="1">
                  <c:v>3774.81481481481</c:v>
                </c:pt>
                <c:pt idx="2">
                  <c:v>52169.8765432099</c:v>
                </c:pt>
                <c:pt idx="3">
                  <c:v>100564.938271605</c:v>
                </c:pt>
                <c:pt idx="4">
                  <c:v>124762.469135802</c:v>
                </c:pt>
                <c:pt idx="5">
                  <c:v>148960</c:v>
                </c:pt>
                <c:pt idx="6">
                  <c:v>173157.530864198</c:v>
                </c:pt>
                <c:pt idx="7">
                  <c:v>197355.061728395</c:v>
                </c:pt>
                <c:pt idx="8">
                  <c:v>221552.592592593</c:v>
                </c:pt>
                <c:pt idx="9">
                  <c:v>245750.12345679</c:v>
                </c:pt>
                <c:pt idx="10">
                  <c:v>257848.888888889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49576"/>
        <c:axId val="688050360"/>
      </c:scatterChart>
      <c:valAx>
        <c:axId val="688049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8050360"/>
        <c:crosses val="autoZero"/>
        <c:crossBetween val="midCat"/>
      </c:valAx>
      <c:valAx>
        <c:axId val="688050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804957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'P19'!$D$7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'P19'!$C$8:$C$18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0.0256410256410256</c:v>
                </c:pt>
                <c:pt idx="2">
                  <c:v>0.0384615384615385</c:v>
                </c:pt>
                <c:pt idx="3">
                  <c:v>0.0512820512820513</c:v>
                </c:pt>
                <c:pt idx="4">
                  <c:v>0.0641025641025641</c:v>
                </c:pt>
                <c:pt idx="5">
                  <c:v>0.0705128205128205</c:v>
                </c:pt>
                <c:pt idx="6">
                  <c:v>0.0897435897435897</c:v>
                </c:pt>
                <c:pt idx="7">
                  <c:v>0.0961538461538462</c:v>
                </c:pt>
                <c:pt idx="8">
                  <c:v>0.102564102564103</c:v>
                </c:pt>
                <c:pt idx="9">
                  <c:v>0.115384615384615</c:v>
                </c:pt>
                <c:pt idx="10">
                  <c:v>0.16025641025641</c:v>
                </c:pt>
              </c:numCache>
            </c:numRef>
          </c:xVal>
          <c:yVal>
            <c:numRef>
              <c:f>'P19'!$D$8:$D$18</c:f>
              <c:numCache>
                <c:formatCode>General</c:formatCode>
                <c:ptCount val="11"/>
                <c:pt idx="0">
                  <c:v>0</c:v>
                </c:pt>
                <c:pt idx="1">
                  <c:v>28210</c:v>
                </c:pt>
                <c:pt idx="2">
                  <c:v>39876.6666666667</c:v>
                </c:pt>
                <c:pt idx="3">
                  <c:v>51543.3333333333</c:v>
                </c:pt>
                <c:pt idx="4">
                  <c:v>63210</c:v>
                </c:pt>
                <c:pt idx="5">
                  <c:v>74876.6666666667</c:v>
                </c:pt>
                <c:pt idx="6">
                  <c:v>86543.3333333333</c:v>
                </c:pt>
                <c:pt idx="7">
                  <c:v>98210</c:v>
                </c:pt>
                <c:pt idx="8">
                  <c:v>109876.666666667</c:v>
                </c:pt>
                <c:pt idx="9">
                  <c:v>121543.333333333</c:v>
                </c:pt>
                <c:pt idx="10">
                  <c:v>144876.666666667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862776"/>
        <c:axId val="681863168"/>
      </c:scatterChart>
      <c:valAx>
        <c:axId val="681862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63168"/>
        <c:crosses val="autoZero"/>
        <c:crossBetween val="midCat"/>
      </c:valAx>
      <c:valAx>
        <c:axId val="68186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62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'P20'!$D$7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'P20'!$C$8:$C$18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0.00746268656716418</c:v>
                </c:pt>
                <c:pt idx="3">
                  <c:v>0.0149253731343284</c:v>
                </c:pt>
                <c:pt idx="4">
                  <c:v>0.0223880597014925</c:v>
                </c:pt>
                <c:pt idx="5">
                  <c:v>0.0298507462686567</c:v>
                </c:pt>
                <c:pt idx="6">
                  <c:v>0.0447761194029851</c:v>
                </c:pt>
                <c:pt idx="7">
                  <c:v>0.0522388059701493</c:v>
                </c:pt>
                <c:pt idx="8">
                  <c:v>0.0597014925373134</c:v>
                </c:pt>
                <c:pt idx="9">
                  <c:v>0.0671641791044776</c:v>
                </c:pt>
                <c:pt idx="10">
                  <c:v>0.0746268656716418</c:v>
                </c:pt>
              </c:numCache>
            </c:numRef>
          </c:xVal>
          <c:yVal>
            <c:numRef>
              <c:f>'P20'!$D$8:$D$18</c:f>
              <c:numCache>
                <c:formatCode>General</c:formatCode>
                <c:ptCount val="11"/>
                <c:pt idx="0">
                  <c:v>0</c:v>
                </c:pt>
                <c:pt idx="1">
                  <c:v>1846.92307692308</c:v>
                </c:pt>
                <c:pt idx="2">
                  <c:v>20693.0769230769</c:v>
                </c:pt>
                <c:pt idx="3">
                  <c:v>39539.2307692308</c:v>
                </c:pt>
                <c:pt idx="4">
                  <c:v>58385.3846153846</c:v>
                </c:pt>
                <c:pt idx="5">
                  <c:v>77231.5384615385</c:v>
                </c:pt>
                <c:pt idx="6">
                  <c:v>96077.6923076923</c:v>
                </c:pt>
                <c:pt idx="7">
                  <c:v>114923.846153846</c:v>
                </c:pt>
                <c:pt idx="8">
                  <c:v>133770</c:v>
                </c:pt>
                <c:pt idx="9">
                  <c:v>152616.153846154</c:v>
                </c:pt>
                <c:pt idx="10">
                  <c:v>171462.307692308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674072"/>
        <c:axId val="534674464"/>
      </c:scatterChart>
      <c:valAx>
        <c:axId val="53467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74464"/>
        <c:crosses val="autoZero"/>
        <c:crossBetween val="midCat"/>
      </c:valAx>
      <c:valAx>
        <c:axId val="53467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74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'P21'!$D$7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'P21'!$C$8:$C$18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0.028169014084507</c:v>
                </c:pt>
                <c:pt idx="3">
                  <c:v>0.0704225352112676</c:v>
                </c:pt>
                <c:pt idx="4">
                  <c:v>0.140845070422535</c:v>
                </c:pt>
                <c:pt idx="5">
                  <c:v>0.169014084507042</c:v>
                </c:pt>
                <c:pt idx="6">
                  <c:v>0.183098591549296</c:v>
                </c:pt>
                <c:pt idx="7">
                  <c:v>0.183098591549296</c:v>
                </c:pt>
                <c:pt idx="8">
                  <c:v>0.197183098591549</c:v>
                </c:pt>
                <c:pt idx="9">
                  <c:v>0.211267605633803</c:v>
                </c:pt>
                <c:pt idx="10">
                  <c:v>0.225352112676056</c:v>
                </c:pt>
              </c:numCache>
            </c:numRef>
          </c:xVal>
          <c:yVal>
            <c:numRef>
              <c:f>'P21'!$D$8:$D$18</c:f>
              <c:numCache>
                <c:formatCode>General</c:formatCode>
                <c:ptCount val="11"/>
                <c:pt idx="0">
                  <c:v>0</c:v>
                </c:pt>
                <c:pt idx="1">
                  <c:v>1209.87654320988</c:v>
                </c:pt>
                <c:pt idx="2">
                  <c:v>49604.9382716049</c:v>
                </c:pt>
                <c:pt idx="3">
                  <c:v>98000</c:v>
                </c:pt>
                <c:pt idx="4">
                  <c:v>146395.061728395</c:v>
                </c:pt>
                <c:pt idx="5">
                  <c:v>170592.592592593</c:v>
                </c:pt>
                <c:pt idx="6">
                  <c:v>194790.12345679</c:v>
                </c:pt>
                <c:pt idx="7">
                  <c:v>206888.888888889</c:v>
                </c:pt>
                <c:pt idx="8">
                  <c:v>218987.654320988</c:v>
                </c:pt>
                <c:pt idx="9">
                  <c:v>231086.419753086</c:v>
                </c:pt>
                <c:pt idx="10">
                  <c:v>255283.950617284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205184"/>
        <c:axId val="697206360"/>
      </c:scatterChart>
      <c:valAx>
        <c:axId val="69720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206360"/>
        <c:crosses val="autoZero"/>
        <c:crossBetween val="midCat"/>
      </c:valAx>
      <c:valAx>
        <c:axId val="69720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205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'P22'!$D$7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'P22'!$C$8:$C$18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0.00649350649350649</c:v>
                </c:pt>
                <c:pt idx="2">
                  <c:v>0.0298701298701298</c:v>
                </c:pt>
                <c:pt idx="3">
                  <c:v>0.0441558441558442</c:v>
                </c:pt>
                <c:pt idx="4">
                  <c:v>0.0714285714285714</c:v>
                </c:pt>
                <c:pt idx="5">
                  <c:v>0.0766233766233767</c:v>
                </c:pt>
                <c:pt idx="6">
                  <c:v>0.0909090909090909</c:v>
                </c:pt>
                <c:pt idx="7">
                  <c:v>0.109090909090909</c:v>
                </c:pt>
                <c:pt idx="8">
                  <c:v>0.127272727272727</c:v>
                </c:pt>
                <c:pt idx="9">
                  <c:v>0.135064935064935</c:v>
                </c:pt>
              </c:numCache>
            </c:numRef>
          </c:xVal>
          <c:yVal>
            <c:numRef>
              <c:f>'P22'!$D$8:$D$18</c:f>
              <c:numCache>
                <c:formatCode>General</c:formatCode>
                <c:ptCount val="11"/>
                <c:pt idx="0">
                  <c:v>0</c:v>
                </c:pt>
                <c:pt idx="1">
                  <c:v>4529.77777777778</c:v>
                </c:pt>
                <c:pt idx="2">
                  <c:v>62603.8518518519</c:v>
                </c:pt>
                <c:pt idx="3">
                  <c:v>91640.8888888889</c:v>
                </c:pt>
                <c:pt idx="4">
                  <c:v>120677.925925926</c:v>
                </c:pt>
                <c:pt idx="5">
                  <c:v>135196.444444444</c:v>
                </c:pt>
                <c:pt idx="6">
                  <c:v>164233.481481482</c:v>
                </c:pt>
                <c:pt idx="7">
                  <c:v>193270.518518519</c:v>
                </c:pt>
                <c:pt idx="8">
                  <c:v>222307.555555556</c:v>
                </c:pt>
                <c:pt idx="9">
                  <c:v>236826.074074074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649536"/>
        <c:axId val="534651496"/>
      </c:scatterChart>
      <c:valAx>
        <c:axId val="53464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51496"/>
        <c:crosses val="autoZero"/>
        <c:crossBetween val="midCat"/>
      </c:valAx>
      <c:valAx>
        <c:axId val="53465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4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'P23'!$D$7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'P23'!$C$8:$C$18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0.0972222222222222</c:v>
                </c:pt>
                <c:pt idx="2">
                  <c:v>0.111111111111111</c:v>
                </c:pt>
                <c:pt idx="3">
                  <c:v>0.125</c:v>
                </c:pt>
                <c:pt idx="4">
                  <c:v>0.152777777777778</c:v>
                </c:pt>
                <c:pt idx="5">
                  <c:v>0.166666666666667</c:v>
                </c:pt>
                <c:pt idx="6">
                  <c:v>0.194444444444444</c:v>
                </c:pt>
                <c:pt idx="7">
                  <c:v>0.222222222222222</c:v>
                </c:pt>
                <c:pt idx="8">
                  <c:v>0.25</c:v>
                </c:pt>
                <c:pt idx="9">
                  <c:v>0.277777777777778</c:v>
                </c:pt>
                <c:pt idx="10">
                  <c:v>0.291666666666667</c:v>
                </c:pt>
              </c:numCache>
            </c:numRef>
          </c:xVal>
          <c:yVal>
            <c:numRef>
              <c:f>'P23'!$D$8:$D$18</c:f>
              <c:numCache>
                <c:formatCode>General</c:formatCode>
                <c:ptCount val="11"/>
                <c:pt idx="0">
                  <c:v>0</c:v>
                </c:pt>
                <c:pt idx="1">
                  <c:v>30354.8717948718</c:v>
                </c:pt>
                <c:pt idx="2">
                  <c:v>42918.9743589744</c:v>
                </c:pt>
                <c:pt idx="3">
                  <c:v>55483.0769230769</c:v>
                </c:pt>
                <c:pt idx="4">
                  <c:v>80611.282051282</c:v>
                </c:pt>
                <c:pt idx="5">
                  <c:v>93175.3846153846</c:v>
                </c:pt>
                <c:pt idx="6">
                  <c:v>105739.487179487</c:v>
                </c:pt>
                <c:pt idx="7">
                  <c:v>130867.692307692</c:v>
                </c:pt>
                <c:pt idx="8">
                  <c:v>138406.153846154</c:v>
                </c:pt>
                <c:pt idx="9">
                  <c:v>155995.897435897</c:v>
                </c:pt>
                <c:pt idx="10">
                  <c:v>168560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313256"/>
        <c:axId val="540314040"/>
      </c:scatterChart>
      <c:valAx>
        <c:axId val="540313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314040"/>
        <c:crosses val="autoZero"/>
        <c:crossBetween val="midCat"/>
      </c:valAx>
      <c:valAx>
        <c:axId val="54031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313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'P24'!$D$7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'P24'!$C$8:$C$18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0.0615384615384615</c:v>
                </c:pt>
                <c:pt idx="2">
                  <c:v>0.0769230769230769</c:v>
                </c:pt>
                <c:pt idx="3">
                  <c:v>0.0923076923076923</c:v>
                </c:pt>
                <c:pt idx="4">
                  <c:v>0.138461538461538</c:v>
                </c:pt>
                <c:pt idx="5">
                  <c:v>0.2</c:v>
                </c:pt>
                <c:pt idx="6">
                  <c:v>0.230769230769231</c:v>
                </c:pt>
                <c:pt idx="7">
                  <c:v>0.246153846153846</c:v>
                </c:pt>
                <c:pt idx="8">
                  <c:v>0.276923076923077</c:v>
                </c:pt>
                <c:pt idx="9">
                  <c:v>0.292307692307692</c:v>
                </c:pt>
              </c:numCache>
            </c:numRef>
          </c:xVal>
          <c:yVal>
            <c:numRef>
              <c:f>'P24'!$D$8:$D$18</c:f>
              <c:numCache>
                <c:formatCode>General</c:formatCode>
                <c:ptCount val="11"/>
                <c:pt idx="0">
                  <c:v>0</c:v>
                </c:pt>
                <c:pt idx="1">
                  <c:v>3819.48717948718</c:v>
                </c:pt>
                <c:pt idx="2">
                  <c:v>28947.6923076923</c:v>
                </c:pt>
                <c:pt idx="3">
                  <c:v>54075.8974358974</c:v>
                </c:pt>
                <c:pt idx="4">
                  <c:v>104332.307692308</c:v>
                </c:pt>
                <c:pt idx="5">
                  <c:v>154588.717948718</c:v>
                </c:pt>
                <c:pt idx="6">
                  <c:v>179716.923076923</c:v>
                </c:pt>
                <c:pt idx="7">
                  <c:v>204845.128205128</c:v>
                </c:pt>
                <c:pt idx="8">
                  <c:v>229973.333333333</c:v>
                </c:pt>
                <c:pt idx="9">
                  <c:v>255101.538461538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366832"/>
        <c:axId val="684364872"/>
      </c:scatterChart>
      <c:valAx>
        <c:axId val="68436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364872"/>
        <c:crosses val="autoZero"/>
        <c:crossBetween val="midCat"/>
      </c:valAx>
      <c:valAx>
        <c:axId val="684364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36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'P25'!$D$7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'P25'!$C$8:$C$18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0.00657894736842115</c:v>
                </c:pt>
                <c:pt idx="2">
                  <c:v>0.0279605263157895</c:v>
                </c:pt>
                <c:pt idx="3">
                  <c:v>0.0345394736842106</c:v>
                </c:pt>
                <c:pt idx="4">
                  <c:v>0.0476973684210527</c:v>
                </c:pt>
                <c:pt idx="5">
                  <c:v>0.055921052631579</c:v>
                </c:pt>
                <c:pt idx="6">
                  <c:v>0.0674342105263159</c:v>
                </c:pt>
                <c:pt idx="7">
                  <c:v>0.0723684210526317</c:v>
                </c:pt>
                <c:pt idx="8">
                  <c:v>0.0904605263157895</c:v>
                </c:pt>
                <c:pt idx="9">
                  <c:v>0.105263157894737</c:v>
                </c:pt>
                <c:pt idx="10">
                  <c:v>0.116776315789474</c:v>
                </c:pt>
              </c:numCache>
            </c:numRef>
          </c:xVal>
          <c:yVal>
            <c:numRef>
              <c:f>'P25'!$D$8:$D$18</c:f>
              <c:numCache>
                <c:formatCode>General</c:formatCode>
                <c:ptCount val="11"/>
                <c:pt idx="0">
                  <c:v>0</c:v>
                </c:pt>
                <c:pt idx="1">
                  <c:v>18777.6223776224</c:v>
                </c:pt>
                <c:pt idx="2">
                  <c:v>35910.4895104895</c:v>
                </c:pt>
                <c:pt idx="3">
                  <c:v>53043.3566433566</c:v>
                </c:pt>
                <c:pt idx="4">
                  <c:v>70176.2237762238</c:v>
                </c:pt>
                <c:pt idx="5">
                  <c:v>87309.0909090909</c:v>
                </c:pt>
                <c:pt idx="6">
                  <c:v>104441.958041958</c:v>
                </c:pt>
                <c:pt idx="7">
                  <c:v>121574.825174825</c:v>
                </c:pt>
                <c:pt idx="8">
                  <c:v>138707.692307692</c:v>
                </c:pt>
                <c:pt idx="9">
                  <c:v>155840.559440559</c:v>
                </c:pt>
                <c:pt idx="10">
                  <c:v>172973.426573427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645616"/>
        <c:axId val="534647968"/>
      </c:scatterChart>
      <c:valAx>
        <c:axId val="5346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47968"/>
        <c:crosses val="autoZero"/>
        <c:crossBetween val="midCat"/>
      </c:valAx>
      <c:valAx>
        <c:axId val="53464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4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'P26'!$D$7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'P26'!$C$8:$C$18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0.0115942028985507</c:v>
                </c:pt>
                <c:pt idx="2">
                  <c:v>0.0231884057971014</c:v>
                </c:pt>
                <c:pt idx="3">
                  <c:v>0.036231884057971</c:v>
                </c:pt>
                <c:pt idx="4">
                  <c:v>0.044927536231884</c:v>
                </c:pt>
                <c:pt idx="5">
                  <c:v>0.0652173913043478</c:v>
                </c:pt>
                <c:pt idx="6">
                  <c:v>0.0913043478260869</c:v>
                </c:pt>
                <c:pt idx="7">
                  <c:v>0.0985507246376811</c:v>
                </c:pt>
                <c:pt idx="8">
                  <c:v>0.104347826086957</c:v>
                </c:pt>
                <c:pt idx="9">
                  <c:v>0.13768115942029</c:v>
                </c:pt>
                <c:pt idx="10">
                  <c:v>0.147826086956522</c:v>
                </c:pt>
              </c:numCache>
            </c:numRef>
          </c:xVal>
          <c:yVal>
            <c:numRef>
              <c:f>'P26'!$D$8:$D$18</c:f>
              <c:numCache>
                <c:formatCode>General</c:formatCode>
                <c:ptCount val="11"/>
                <c:pt idx="0">
                  <c:v>0</c:v>
                </c:pt>
                <c:pt idx="1">
                  <c:v>3894.87179487179</c:v>
                </c:pt>
                <c:pt idx="2">
                  <c:v>16458.9743589744</c:v>
                </c:pt>
                <c:pt idx="3">
                  <c:v>29023.0769230769</c:v>
                </c:pt>
                <c:pt idx="4">
                  <c:v>41587.1794871795</c:v>
                </c:pt>
                <c:pt idx="5">
                  <c:v>54151.282051282</c:v>
                </c:pt>
                <c:pt idx="6">
                  <c:v>79279.4871794872</c:v>
                </c:pt>
                <c:pt idx="7">
                  <c:v>91843.5897435897</c:v>
                </c:pt>
                <c:pt idx="8">
                  <c:v>116971.794871795</c:v>
                </c:pt>
                <c:pt idx="9">
                  <c:v>142100</c:v>
                </c:pt>
                <c:pt idx="10">
                  <c:v>167228.205128205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205968"/>
        <c:axId val="534646400"/>
      </c:scatterChart>
      <c:valAx>
        <c:axId val="6972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46400"/>
        <c:crosses val="autoZero"/>
        <c:crossBetween val="midCat"/>
      </c:valAx>
      <c:valAx>
        <c:axId val="53464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20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'P27'!$D$7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'P27'!$C$8:$C$18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0.0204081632653061</c:v>
                </c:pt>
                <c:pt idx="2">
                  <c:v>0.0408163265306122</c:v>
                </c:pt>
                <c:pt idx="3">
                  <c:v>0.0748299319727891</c:v>
                </c:pt>
                <c:pt idx="4">
                  <c:v>0.108843537414966</c:v>
                </c:pt>
                <c:pt idx="5">
                  <c:v>0.131972789115646</c:v>
                </c:pt>
                <c:pt idx="6">
                  <c:v>0.170068027210884</c:v>
                </c:pt>
                <c:pt idx="7">
                  <c:v>0.224489795918367</c:v>
                </c:pt>
                <c:pt idx="8">
                  <c:v>0.26530612244898</c:v>
                </c:pt>
                <c:pt idx="9">
                  <c:v>0.27891156462585</c:v>
                </c:pt>
                <c:pt idx="10">
                  <c:v>0.306122448979592</c:v>
                </c:pt>
              </c:numCache>
            </c:numRef>
          </c:xVal>
          <c:yVal>
            <c:numRef>
              <c:f>'P27'!$D$8:$D$18</c:f>
              <c:numCache>
                <c:formatCode>General</c:formatCode>
                <c:ptCount val="11"/>
                <c:pt idx="0">
                  <c:v>0</c:v>
                </c:pt>
                <c:pt idx="1">
                  <c:v>5373.73737373737</c:v>
                </c:pt>
                <c:pt idx="2">
                  <c:v>76080.8080808081</c:v>
                </c:pt>
                <c:pt idx="3">
                  <c:v>146787.878787879</c:v>
                </c:pt>
                <c:pt idx="4">
                  <c:v>182141.414141414</c:v>
                </c:pt>
                <c:pt idx="5">
                  <c:v>199818.181818182</c:v>
                </c:pt>
                <c:pt idx="6">
                  <c:v>270525.252525253</c:v>
                </c:pt>
                <c:pt idx="7">
                  <c:v>341232.323232323</c:v>
                </c:pt>
                <c:pt idx="8">
                  <c:v>411939.393939394</c:v>
                </c:pt>
                <c:pt idx="9">
                  <c:v>447292.929292929</c:v>
                </c:pt>
                <c:pt idx="10">
                  <c:v>518000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289792"/>
        <c:axId val="741290576"/>
      </c:scatterChart>
      <c:valAx>
        <c:axId val="74128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290576"/>
        <c:crosses val="autoZero"/>
        <c:crossBetween val="midCat"/>
      </c:valAx>
      <c:valAx>
        <c:axId val="74129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28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'P28'!$D$7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'P28'!$C$8:$C$18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0.0240506329113925</c:v>
                </c:pt>
                <c:pt idx="2">
                  <c:v>0.0506329113924051</c:v>
                </c:pt>
                <c:pt idx="3">
                  <c:v>0.0835443037974683</c:v>
                </c:pt>
                <c:pt idx="4">
                  <c:v>0.10506329113924</c:v>
                </c:pt>
                <c:pt idx="5">
                  <c:v>0.124050632911392</c:v>
                </c:pt>
                <c:pt idx="6">
                  <c:v>0.146835443037975</c:v>
                </c:pt>
                <c:pt idx="7">
                  <c:v>0.174683544303797</c:v>
                </c:pt>
                <c:pt idx="8">
                  <c:v>0.177215189873418</c:v>
                </c:pt>
                <c:pt idx="9">
                  <c:v>0.29746835443038</c:v>
                </c:pt>
                <c:pt idx="10">
                  <c:v>0.354430379746835</c:v>
                </c:pt>
              </c:numCache>
            </c:numRef>
          </c:xVal>
          <c:yVal>
            <c:numRef>
              <c:f>'P28'!$D$8:$D$18</c:f>
              <c:numCache>
                <c:formatCode>General</c:formatCode>
                <c:ptCount val="11"/>
                <c:pt idx="0">
                  <c:v>0</c:v>
                </c:pt>
                <c:pt idx="1">
                  <c:v>3865.72622779519</c:v>
                </c:pt>
                <c:pt idx="2">
                  <c:v>29466.5621734587</c:v>
                </c:pt>
                <c:pt idx="3">
                  <c:v>55067.3981191223</c:v>
                </c:pt>
                <c:pt idx="4">
                  <c:v>80668.2340647858</c:v>
                </c:pt>
                <c:pt idx="5">
                  <c:v>106269.070010449</c:v>
                </c:pt>
                <c:pt idx="6">
                  <c:v>131869.905956113</c:v>
                </c:pt>
                <c:pt idx="7">
                  <c:v>157470.741901776</c:v>
                </c:pt>
                <c:pt idx="8">
                  <c:v>183071.57784744</c:v>
                </c:pt>
                <c:pt idx="9">
                  <c:v>234273.249738767</c:v>
                </c:pt>
                <c:pt idx="10">
                  <c:v>285500.52246604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672504"/>
        <c:axId val="534672896"/>
      </c:scatterChart>
      <c:valAx>
        <c:axId val="534672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72896"/>
        <c:crosses val="autoZero"/>
        <c:crossBetween val="midCat"/>
      </c:valAx>
      <c:valAx>
        <c:axId val="53467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72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'P29'!$D$7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'P29'!$C$8:$C$18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0.0248691099476439</c:v>
                </c:pt>
                <c:pt idx="2">
                  <c:v>0.0994764397905758</c:v>
                </c:pt>
                <c:pt idx="3">
                  <c:v>0.164921465968586</c:v>
                </c:pt>
                <c:pt idx="4">
                  <c:v>0.230366492146597</c:v>
                </c:pt>
                <c:pt idx="5">
                  <c:v>0.295811518324607</c:v>
                </c:pt>
                <c:pt idx="6">
                  <c:v>0.361256544502618</c:v>
                </c:pt>
                <c:pt idx="7">
                  <c:v>0.43586387434555</c:v>
                </c:pt>
                <c:pt idx="8">
                  <c:v>0.467277486910995</c:v>
                </c:pt>
                <c:pt idx="9">
                  <c:v>0.493455497382199</c:v>
                </c:pt>
                <c:pt idx="10">
                  <c:v>0.513089005235602</c:v>
                </c:pt>
              </c:numCache>
            </c:numRef>
          </c:xVal>
          <c:yVal>
            <c:numRef>
              <c:f>'P29'!$D$8:$D$18</c:f>
              <c:numCache>
                <c:formatCode>General</c:formatCode>
                <c:ptCount val="11"/>
                <c:pt idx="0">
                  <c:v>0</c:v>
                </c:pt>
                <c:pt idx="1">
                  <c:v>6030.76923076923</c:v>
                </c:pt>
                <c:pt idx="2">
                  <c:v>85382.995951417</c:v>
                </c:pt>
                <c:pt idx="3">
                  <c:v>164735.222672065</c:v>
                </c:pt>
                <c:pt idx="4">
                  <c:v>244087.449392713</c:v>
                </c:pt>
                <c:pt idx="5">
                  <c:v>283763.562753037</c:v>
                </c:pt>
                <c:pt idx="6">
                  <c:v>363115.789473684</c:v>
                </c:pt>
                <c:pt idx="7">
                  <c:v>442468.016194332</c:v>
                </c:pt>
                <c:pt idx="8">
                  <c:v>482144.129554656</c:v>
                </c:pt>
                <c:pt idx="9">
                  <c:v>521820.24291498</c:v>
                </c:pt>
                <c:pt idx="10">
                  <c:v>541658.299595142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861600"/>
        <c:axId val="681863560"/>
      </c:scatterChart>
      <c:valAx>
        <c:axId val="68186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63560"/>
        <c:crosses val="autoZero"/>
        <c:crossBetween val="midCat"/>
      </c:valAx>
      <c:valAx>
        <c:axId val="68186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6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'P30'!$D$7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'P30'!$C$8:$C$18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0.0123456790123457</c:v>
                </c:pt>
                <c:pt idx="2">
                  <c:v>0.0493827160493827</c:v>
                </c:pt>
                <c:pt idx="3">
                  <c:v>0.0617283950617284</c:v>
                </c:pt>
                <c:pt idx="4">
                  <c:v>0.0864197530864197</c:v>
                </c:pt>
                <c:pt idx="5">
                  <c:v>0.135802469135802</c:v>
                </c:pt>
                <c:pt idx="6">
                  <c:v>0.197530864197531</c:v>
                </c:pt>
                <c:pt idx="7">
                  <c:v>0.222222222222222</c:v>
                </c:pt>
                <c:pt idx="8">
                  <c:v>0.259259259259259</c:v>
                </c:pt>
                <c:pt idx="9">
                  <c:v>0.283950617283951</c:v>
                </c:pt>
                <c:pt idx="10">
                  <c:v>0.333333333333333</c:v>
                </c:pt>
              </c:numCache>
            </c:numRef>
          </c:xVal>
          <c:yVal>
            <c:numRef>
              <c:f>'P30'!$D$8:$D$18</c:f>
              <c:numCache>
                <c:formatCode>General</c:formatCode>
                <c:ptCount val="11"/>
                <c:pt idx="0">
                  <c:v>0</c:v>
                </c:pt>
                <c:pt idx="1">
                  <c:v>6288.33333333333</c:v>
                </c:pt>
                <c:pt idx="2">
                  <c:v>47121.6666666667</c:v>
                </c:pt>
                <c:pt idx="3">
                  <c:v>67538.3333333333</c:v>
                </c:pt>
                <c:pt idx="4">
                  <c:v>87955</c:v>
                </c:pt>
                <c:pt idx="5">
                  <c:v>128788.333333333</c:v>
                </c:pt>
                <c:pt idx="6">
                  <c:v>169621.666666667</c:v>
                </c:pt>
                <c:pt idx="7">
                  <c:v>210455</c:v>
                </c:pt>
                <c:pt idx="8">
                  <c:v>251288.333333333</c:v>
                </c:pt>
                <c:pt idx="9">
                  <c:v>271705</c:v>
                </c:pt>
                <c:pt idx="10">
                  <c:v>292121.666666667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646008"/>
        <c:axId val="534647576"/>
      </c:scatterChart>
      <c:valAx>
        <c:axId val="534646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47576"/>
        <c:crosses val="autoZero"/>
        <c:crossBetween val="midCat"/>
      </c:valAx>
      <c:valAx>
        <c:axId val="534647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46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'P31'!$D$7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372445319335083"/>
                  <c:y val="-0.0170013123359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'P31'!$C$8:$C$18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0.0208333333333333</c:v>
                </c:pt>
                <c:pt idx="3">
                  <c:v>0.0416666666666667</c:v>
                </c:pt>
                <c:pt idx="4">
                  <c:v>0.0694444444444444</c:v>
                </c:pt>
                <c:pt idx="5">
                  <c:v>0.111111111111111</c:v>
                </c:pt>
                <c:pt idx="6">
                  <c:v>0.138888888888889</c:v>
                </c:pt>
                <c:pt idx="7">
                  <c:v>0.159722222222222</c:v>
                </c:pt>
                <c:pt idx="8">
                  <c:v>0.194444444444444</c:v>
                </c:pt>
                <c:pt idx="9">
                  <c:v>0.222222222222222</c:v>
                </c:pt>
                <c:pt idx="10">
                  <c:v>0.25</c:v>
                </c:pt>
              </c:numCache>
            </c:numRef>
          </c:xVal>
          <c:yVal>
            <c:numRef>
              <c:f>'P31'!$D$8:$D$18</c:f>
              <c:numCache>
                <c:formatCode>General</c:formatCode>
                <c:ptCount val="11"/>
                <c:pt idx="0">
                  <c:v>0</c:v>
                </c:pt>
                <c:pt idx="1">
                  <c:v>1750</c:v>
                </c:pt>
                <c:pt idx="2">
                  <c:v>19250</c:v>
                </c:pt>
                <c:pt idx="3">
                  <c:v>36750</c:v>
                </c:pt>
                <c:pt idx="4">
                  <c:v>54250</c:v>
                </c:pt>
                <c:pt idx="5">
                  <c:v>71750</c:v>
                </c:pt>
                <c:pt idx="6">
                  <c:v>89250</c:v>
                </c:pt>
                <c:pt idx="7">
                  <c:v>106750</c:v>
                </c:pt>
                <c:pt idx="8">
                  <c:v>124250</c:v>
                </c:pt>
                <c:pt idx="9">
                  <c:v>141750</c:v>
                </c:pt>
                <c:pt idx="10">
                  <c:v>159250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599784"/>
        <c:axId val="533600176"/>
      </c:scatterChart>
      <c:valAx>
        <c:axId val="533599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600176"/>
        <c:crosses val="autoZero"/>
        <c:crossBetween val="midCat"/>
      </c:valAx>
      <c:valAx>
        <c:axId val="53360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599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'P32'!$D$7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'P32'!$C$8:$C$18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0.00704225352112676</c:v>
                </c:pt>
                <c:pt idx="2">
                  <c:v>0.0211267605633803</c:v>
                </c:pt>
                <c:pt idx="3">
                  <c:v>0.028169014084507</c:v>
                </c:pt>
                <c:pt idx="4">
                  <c:v>0.0492957746478873</c:v>
                </c:pt>
                <c:pt idx="5">
                  <c:v>0.0774647887323944</c:v>
                </c:pt>
                <c:pt idx="6">
                  <c:v>0.0985915492957746</c:v>
                </c:pt>
                <c:pt idx="7">
                  <c:v>0.126760563380282</c:v>
                </c:pt>
                <c:pt idx="8">
                  <c:v>0.147887323943662</c:v>
                </c:pt>
                <c:pt idx="9">
                  <c:v>0.176056338028169</c:v>
                </c:pt>
                <c:pt idx="10">
                  <c:v>0.183098591549296</c:v>
                </c:pt>
              </c:numCache>
            </c:numRef>
          </c:xVal>
          <c:yVal>
            <c:numRef>
              <c:f>'P32'!$D$8:$D$18</c:f>
              <c:numCache>
                <c:formatCode>General</c:formatCode>
                <c:ptCount val="11"/>
                <c:pt idx="0">
                  <c:v>0</c:v>
                </c:pt>
                <c:pt idx="1">
                  <c:v>26384.6153846154</c:v>
                </c:pt>
                <c:pt idx="2">
                  <c:v>51512.8205128205</c:v>
                </c:pt>
                <c:pt idx="3">
                  <c:v>76641.0256410256</c:v>
                </c:pt>
                <c:pt idx="4">
                  <c:v>101769.230769231</c:v>
                </c:pt>
                <c:pt idx="5">
                  <c:v>126897.435897436</c:v>
                </c:pt>
                <c:pt idx="6">
                  <c:v>152025.641025641</c:v>
                </c:pt>
                <c:pt idx="7">
                  <c:v>177153.846153846</c:v>
                </c:pt>
                <c:pt idx="8">
                  <c:v>202282.051282051</c:v>
                </c:pt>
                <c:pt idx="9">
                  <c:v>227410.256410256</c:v>
                </c:pt>
                <c:pt idx="10">
                  <c:v>252538.461538462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366048"/>
        <c:axId val="684360560"/>
      </c:scatterChart>
      <c:valAx>
        <c:axId val="6843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360560"/>
        <c:crosses val="autoZero"/>
        <c:crossBetween val="midCat"/>
      </c:valAx>
      <c:valAx>
        <c:axId val="68436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366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'P33'!$D$7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'P33'!$C$8:$C$18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0.0277777777777778</c:v>
                </c:pt>
                <c:pt idx="2">
                  <c:v>0.0555555555555556</c:v>
                </c:pt>
                <c:pt idx="3">
                  <c:v>0.0694444444444444</c:v>
                </c:pt>
                <c:pt idx="4">
                  <c:v>0.0972222222222222</c:v>
                </c:pt>
                <c:pt idx="5">
                  <c:v>0.125</c:v>
                </c:pt>
                <c:pt idx="6">
                  <c:v>0.145833333333333</c:v>
                </c:pt>
                <c:pt idx="7">
                  <c:v>0.166666666666667</c:v>
                </c:pt>
                <c:pt idx="8">
                  <c:v>0.194444444444444</c:v>
                </c:pt>
                <c:pt idx="9">
                  <c:v>0.208333333333333</c:v>
                </c:pt>
                <c:pt idx="10">
                  <c:v>0.291666666666667</c:v>
                </c:pt>
              </c:numCache>
            </c:numRef>
          </c:xVal>
          <c:yVal>
            <c:numRef>
              <c:f>'P33'!$D$8:$D$18</c:f>
              <c:numCache>
                <c:formatCode>General</c:formatCode>
                <c:ptCount val="11"/>
                <c:pt idx="0">
                  <c:v>0</c:v>
                </c:pt>
                <c:pt idx="1">
                  <c:v>26384.6153846154</c:v>
                </c:pt>
                <c:pt idx="2">
                  <c:v>51512.8205128205</c:v>
                </c:pt>
                <c:pt idx="3">
                  <c:v>76641.0256410256</c:v>
                </c:pt>
                <c:pt idx="4">
                  <c:v>101769.230769231</c:v>
                </c:pt>
                <c:pt idx="5">
                  <c:v>126897.435897436</c:v>
                </c:pt>
                <c:pt idx="6">
                  <c:v>152025.641025641</c:v>
                </c:pt>
                <c:pt idx="7">
                  <c:v>177153.846153846</c:v>
                </c:pt>
                <c:pt idx="8">
                  <c:v>202206.666666667</c:v>
                </c:pt>
                <c:pt idx="9">
                  <c:v>227334.871794872</c:v>
                </c:pt>
                <c:pt idx="10">
                  <c:v>251910.256410256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206752"/>
        <c:axId val="697212240"/>
      </c:scatterChart>
      <c:valAx>
        <c:axId val="69720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212240"/>
        <c:crosses val="autoZero"/>
        <c:crossBetween val="midCat"/>
      </c:valAx>
      <c:valAx>
        <c:axId val="69721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20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'P34'!$D$7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'P34'!$C$8:$C$18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0.00462962962962959</c:v>
                </c:pt>
                <c:pt idx="2">
                  <c:v>0.0185185185185186</c:v>
                </c:pt>
                <c:pt idx="3">
                  <c:v>0.0354938271604938</c:v>
                </c:pt>
                <c:pt idx="4">
                  <c:v>0.0478395061728396</c:v>
                </c:pt>
                <c:pt idx="5">
                  <c:v>0.0570987654320988</c:v>
                </c:pt>
                <c:pt idx="6">
                  <c:v>0.0725308641975309</c:v>
                </c:pt>
                <c:pt idx="7">
                  <c:v>0.0848765432098765</c:v>
                </c:pt>
                <c:pt idx="8">
                  <c:v>0.087962962962963</c:v>
                </c:pt>
                <c:pt idx="9">
                  <c:v>0.0941358024691359</c:v>
                </c:pt>
                <c:pt idx="10">
                  <c:v>0.103395061728395</c:v>
                </c:pt>
              </c:numCache>
            </c:numRef>
          </c:xVal>
          <c:yVal>
            <c:numRef>
              <c:f>'P34'!$D$8:$D$18</c:f>
              <c:numCache>
                <c:formatCode>General</c:formatCode>
                <c:ptCount val="11"/>
                <c:pt idx="0">
                  <c:v>0</c:v>
                </c:pt>
                <c:pt idx="1">
                  <c:v>1256.41025641026</c:v>
                </c:pt>
                <c:pt idx="2">
                  <c:v>13820.5128205128</c:v>
                </c:pt>
                <c:pt idx="3">
                  <c:v>26384.6153846154</c:v>
                </c:pt>
                <c:pt idx="4">
                  <c:v>38948.7179487179</c:v>
                </c:pt>
                <c:pt idx="5">
                  <c:v>51512.8205128205</c:v>
                </c:pt>
                <c:pt idx="6">
                  <c:v>64076.9230769231</c:v>
                </c:pt>
                <c:pt idx="7">
                  <c:v>76641.0256410256</c:v>
                </c:pt>
                <c:pt idx="8">
                  <c:v>80234.358974359</c:v>
                </c:pt>
                <c:pt idx="9">
                  <c:v>83475.8974358974</c:v>
                </c:pt>
                <c:pt idx="10">
                  <c:v>86742.5641025641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210672"/>
        <c:axId val="697209888"/>
      </c:scatterChart>
      <c:valAx>
        <c:axId val="69721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209888"/>
        <c:crosses val="autoZero"/>
        <c:crossBetween val="midCat"/>
      </c:valAx>
      <c:valAx>
        <c:axId val="6972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21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'P35'!$D$7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'P35'!$C$8:$C$18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0.00161290322580647</c:v>
                </c:pt>
                <c:pt idx="2">
                  <c:v>0.0193548387096775</c:v>
                </c:pt>
                <c:pt idx="3">
                  <c:v>0.0306451612903226</c:v>
                </c:pt>
                <c:pt idx="4">
                  <c:v>0.0387096774193549</c:v>
                </c:pt>
                <c:pt idx="5">
                  <c:v>0.0548387096774194</c:v>
                </c:pt>
                <c:pt idx="6">
                  <c:v>0.0725806451612903</c:v>
                </c:pt>
                <c:pt idx="7">
                  <c:v>0.0790322580645162</c:v>
                </c:pt>
                <c:pt idx="8">
                  <c:v>0.0887096774193548</c:v>
                </c:pt>
                <c:pt idx="9">
                  <c:v>0.101612903225806</c:v>
                </c:pt>
                <c:pt idx="10">
                  <c:v>0.12258064516129</c:v>
                </c:pt>
              </c:numCache>
            </c:numRef>
          </c:xVal>
          <c:yVal>
            <c:numRef>
              <c:f>'P35'!$D$8:$D$18</c:f>
              <c:numCache>
                <c:formatCode>General</c:formatCode>
                <c:ptCount val="11"/>
                <c:pt idx="0">
                  <c:v>0</c:v>
                </c:pt>
                <c:pt idx="1">
                  <c:v>17212.8205128205</c:v>
                </c:pt>
                <c:pt idx="2">
                  <c:v>32917.9487179487</c:v>
                </c:pt>
                <c:pt idx="3">
                  <c:v>48623.0769230769</c:v>
                </c:pt>
                <c:pt idx="4">
                  <c:v>64328.2051282052</c:v>
                </c:pt>
                <c:pt idx="5">
                  <c:v>80033.3333333334</c:v>
                </c:pt>
                <c:pt idx="6">
                  <c:v>95738.4615384616</c:v>
                </c:pt>
                <c:pt idx="7">
                  <c:v>111443.58974359</c:v>
                </c:pt>
                <c:pt idx="8">
                  <c:v>127148.717948718</c:v>
                </c:pt>
                <c:pt idx="9">
                  <c:v>142853.846153846</c:v>
                </c:pt>
                <c:pt idx="10">
                  <c:v>158558.974358974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646792"/>
        <c:axId val="534648752"/>
      </c:scatterChart>
      <c:valAx>
        <c:axId val="534646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48752"/>
        <c:crosses val="autoZero"/>
        <c:crossBetween val="midCat"/>
      </c:valAx>
      <c:valAx>
        <c:axId val="53464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46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'P36'!$D$7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'P36'!$C$8:$C$18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0.00714285714285714</c:v>
                </c:pt>
                <c:pt idx="3">
                  <c:v>0.0214285714285714</c:v>
                </c:pt>
                <c:pt idx="4">
                  <c:v>0.0542857142857142</c:v>
                </c:pt>
                <c:pt idx="5">
                  <c:v>0.107142857142857</c:v>
                </c:pt>
                <c:pt idx="6">
                  <c:v>0.121428571428571</c:v>
                </c:pt>
                <c:pt idx="7">
                  <c:v>0.142857142857143</c:v>
                </c:pt>
                <c:pt idx="8">
                  <c:v>0.142857142857143</c:v>
                </c:pt>
                <c:pt idx="9">
                  <c:v>0.185714285714286</c:v>
                </c:pt>
                <c:pt idx="10">
                  <c:v>0.214285714285714</c:v>
                </c:pt>
              </c:numCache>
            </c:numRef>
          </c:xVal>
          <c:yVal>
            <c:numRef>
              <c:f>'P36'!$D$8:$D$18</c:f>
              <c:numCache>
                <c:formatCode>General</c:formatCode>
                <c:ptCount val="11"/>
                <c:pt idx="0">
                  <c:v>0</c:v>
                </c:pt>
                <c:pt idx="1">
                  <c:v>6283.06451612903</c:v>
                </c:pt>
                <c:pt idx="2">
                  <c:v>26056.935483871</c:v>
                </c:pt>
                <c:pt idx="3">
                  <c:v>45815</c:v>
                </c:pt>
                <c:pt idx="4">
                  <c:v>124847.258064516</c:v>
                </c:pt>
                <c:pt idx="5">
                  <c:v>203879.516129032</c:v>
                </c:pt>
                <c:pt idx="6">
                  <c:v>223637.580645161</c:v>
                </c:pt>
                <c:pt idx="7">
                  <c:v>263153.709677419</c:v>
                </c:pt>
                <c:pt idx="8">
                  <c:v>265090</c:v>
                </c:pt>
                <c:pt idx="9">
                  <c:v>344122.258064516</c:v>
                </c:pt>
                <c:pt idx="10">
                  <c:v>423154.516129032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207536"/>
        <c:axId val="697205576"/>
      </c:scatterChart>
      <c:valAx>
        <c:axId val="69720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205576"/>
        <c:crosses val="autoZero"/>
        <c:crossBetween val="midCat"/>
      </c:valAx>
      <c:valAx>
        <c:axId val="69720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20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'P37'!$C$8:$C$18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0.0151515151515152</c:v>
                </c:pt>
                <c:pt idx="3">
                  <c:v>0.0303030303030303</c:v>
                </c:pt>
                <c:pt idx="4">
                  <c:v>0.0454545454545455</c:v>
                </c:pt>
                <c:pt idx="5">
                  <c:v>0.0606060606060606</c:v>
                </c:pt>
                <c:pt idx="6">
                  <c:v>0.0757575757575758</c:v>
                </c:pt>
                <c:pt idx="7">
                  <c:v>0.0757575757575758</c:v>
                </c:pt>
                <c:pt idx="8">
                  <c:v>0.106060606060606</c:v>
                </c:pt>
                <c:pt idx="9">
                  <c:v>0.136363636363636</c:v>
                </c:pt>
                <c:pt idx="10">
                  <c:v>0.151515151515152</c:v>
                </c:pt>
              </c:numCache>
            </c:numRef>
          </c:xVal>
          <c:yVal>
            <c:numRef>
              <c:f>'P37'!$D$8:$D$18</c:f>
              <c:numCache>
                <c:formatCode>General</c:formatCode>
                <c:ptCount val="11"/>
                <c:pt idx="0">
                  <c:v>0</c:v>
                </c:pt>
                <c:pt idx="1">
                  <c:v>4087.78625954199</c:v>
                </c:pt>
                <c:pt idx="2">
                  <c:v>17446.5648854962</c:v>
                </c:pt>
                <c:pt idx="3">
                  <c:v>30805.3435114504</c:v>
                </c:pt>
                <c:pt idx="4">
                  <c:v>44164.1221374046</c:v>
                </c:pt>
                <c:pt idx="5">
                  <c:v>57522.9007633588</c:v>
                </c:pt>
                <c:pt idx="6">
                  <c:v>70881.679389313</c:v>
                </c:pt>
                <c:pt idx="7">
                  <c:v>84240.4580152672</c:v>
                </c:pt>
                <c:pt idx="8">
                  <c:v>110958.015267176</c:v>
                </c:pt>
                <c:pt idx="9">
                  <c:v>137675.572519084</c:v>
                </c:pt>
                <c:pt idx="10">
                  <c:v>151034.351145038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207928"/>
        <c:axId val="697208320"/>
      </c:scatterChart>
      <c:valAx>
        <c:axId val="697207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208320"/>
        <c:crosses val="autoZero"/>
        <c:crossBetween val="midCat"/>
      </c:valAx>
      <c:valAx>
        <c:axId val="69720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207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'P38'!$D$7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'P38'!$C$8:$C$18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0.00298507462686571</c:v>
                </c:pt>
                <c:pt idx="2">
                  <c:v>0.0149253731343284</c:v>
                </c:pt>
                <c:pt idx="3">
                  <c:v>0.0298507462686567</c:v>
                </c:pt>
                <c:pt idx="4">
                  <c:v>0.0746268656716418</c:v>
                </c:pt>
                <c:pt idx="5">
                  <c:v>0.104477611940299</c:v>
                </c:pt>
                <c:pt idx="6">
                  <c:v>0.134328358208955</c:v>
                </c:pt>
                <c:pt idx="7">
                  <c:v>0.149253731343284</c:v>
                </c:pt>
                <c:pt idx="8">
                  <c:v>0.201492537313433</c:v>
                </c:pt>
                <c:pt idx="9">
                  <c:v>0.208955223880597</c:v>
                </c:pt>
                <c:pt idx="10">
                  <c:v>0.26865671641791</c:v>
                </c:pt>
              </c:numCache>
            </c:numRef>
          </c:xVal>
          <c:yVal>
            <c:numRef>
              <c:f>'P38'!$D$8:$D$18</c:f>
              <c:numCache>
                <c:formatCode>General</c:formatCode>
                <c:ptCount val="11"/>
                <c:pt idx="0">
                  <c:v>0</c:v>
                </c:pt>
                <c:pt idx="1">
                  <c:v>5824</c:v>
                </c:pt>
                <c:pt idx="2">
                  <c:v>43157.3333333333</c:v>
                </c:pt>
                <c:pt idx="3">
                  <c:v>84224</c:v>
                </c:pt>
                <c:pt idx="4">
                  <c:v>155157.333333333</c:v>
                </c:pt>
                <c:pt idx="5">
                  <c:v>192490.666666667</c:v>
                </c:pt>
                <c:pt idx="6">
                  <c:v>267157.333333333</c:v>
                </c:pt>
                <c:pt idx="7">
                  <c:v>304490.666666667</c:v>
                </c:pt>
                <c:pt idx="8">
                  <c:v>341824</c:v>
                </c:pt>
                <c:pt idx="9">
                  <c:v>360490.666666667</c:v>
                </c:pt>
                <c:pt idx="10">
                  <c:v>435120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365656"/>
        <c:axId val="684362520"/>
      </c:scatterChart>
      <c:valAx>
        <c:axId val="684365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362520"/>
        <c:crosses val="autoZero"/>
        <c:crossBetween val="midCat"/>
      </c:valAx>
      <c:valAx>
        <c:axId val="68436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365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'P39'!$D$7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'P39'!$C$8:$C$18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0.0273972602739726</c:v>
                </c:pt>
                <c:pt idx="2">
                  <c:v>0.0410958904109589</c:v>
                </c:pt>
                <c:pt idx="3">
                  <c:v>0.0684931506849315</c:v>
                </c:pt>
                <c:pt idx="4">
                  <c:v>0.0821917808219178</c:v>
                </c:pt>
                <c:pt idx="5">
                  <c:v>0.0958904109589041</c:v>
                </c:pt>
                <c:pt idx="6">
                  <c:v>0.116438356164384</c:v>
                </c:pt>
                <c:pt idx="7">
                  <c:v>0.123287671232877</c:v>
                </c:pt>
                <c:pt idx="8">
                  <c:v>0.141095890410959</c:v>
                </c:pt>
                <c:pt idx="9">
                  <c:v>0.161643835616438</c:v>
                </c:pt>
                <c:pt idx="10">
                  <c:v>0.178082191780822</c:v>
                </c:pt>
              </c:numCache>
            </c:numRef>
          </c:xVal>
          <c:yVal>
            <c:numRef>
              <c:f>'P39'!$D$8:$D$18</c:f>
              <c:numCache>
                <c:formatCode>General</c:formatCode>
                <c:ptCount val="11"/>
                <c:pt idx="0">
                  <c:v>0</c:v>
                </c:pt>
                <c:pt idx="1">
                  <c:v>26384.6153846154</c:v>
                </c:pt>
                <c:pt idx="2">
                  <c:v>51512.8205128205</c:v>
                </c:pt>
                <c:pt idx="3">
                  <c:v>76641.0256410256</c:v>
                </c:pt>
                <c:pt idx="4">
                  <c:v>101769.230769231</c:v>
                </c:pt>
                <c:pt idx="5">
                  <c:v>126897.435897436</c:v>
                </c:pt>
                <c:pt idx="6">
                  <c:v>152025.641025641</c:v>
                </c:pt>
                <c:pt idx="7">
                  <c:v>177153.846153846</c:v>
                </c:pt>
                <c:pt idx="8">
                  <c:v>202282.051282051</c:v>
                </c:pt>
                <c:pt idx="9">
                  <c:v>227410.256410256</c:v>
                </c:pt>
                <c:pt idx="10">
                  <c:v>252538.461538462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363696"/>
        <c:axId val="684361344"/>
      </c:scatterChart>
      <c:valAx>
        <c:axId val="68436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361344"/>
        <c:crosses val="autoZero"/>
        <c:crossBetween val="midCat"/>
      </c:valAx>
      <c:valAx>
        <c:axId val="68436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36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'P40'!$D$7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'P40'!$C$8:$C$18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0.0135135135135135</c:v>
                </c:pt>
                <c:pt idx="2">
                  <c:v>0.0337837837837838</c:v>
                </c:pt>
                <c:pt idx="3">
                  <c:v>0.0540540540540541</c:v>
                </c:pt>
                <c:pt idx="4">
                  <c:v>0.0878378378378378</c:v>
                </c:pt>
                <c:pt idx="5">
                  <c:v>0.108108108108108</c:v>
                </c:pt>
                <c:pt idx="6">
                  <c:v>0.131081081081081</c:v>
                </c:pt>
                <c:pt idx="7">
                  <c:v>0.155405405405405</c:v>
                </c:pt>
                <c:pt idx="8">
                  <c:v>0.162162162162162</c:v>
                </c:pt>
                <c:pt idx="9">
                  <c:v>0.175675675675676</c:v>
                </c:pt>
                <c:pt idx="10">
                  <c:v>0.189189189189189</c:v>
                </c:pt>
              </c:numCache>
            </c:numRef>
          </c:xVal>
          <c:yVal>
            <c:numRef>
              <c:f>'P40'!$D$8:$D$18</c:f>
              <c:numCache>
                <c:formatCode>General</c:formatCode>
                <c:ptCount val="11"/>
                <c:pt idx="0">
                  <c:v>0</c:v>
                </c:pt>
                <c:pt idx="1">
                  <c:v>6332.30769230769</c:v>
                </c:pt>
                <c:pt idx="2">
                  <c:v>36486.1538461539</c:v>
                </c:pt>
                <c:pt idx="3">
                  <c:v>66640</c:v>
                </c:pt>
                <c:pt idx="4">
                  <c:v>96793.8461538462</c:v>
                </c:pt>
                <c:pt idx="5">
                  <c:v>126947.692307692</c:v>
                </c:pt>
                <c:pt idx="6">
                  <c:v>157101.538461538</c:v>
                </c:pt>
                <c:pt idx="7">
                  <c:v>187255.384615385</c:v>
                </c:pt>
                <c:pt idx="8">
                  <c:v>202332.307692308</c:v>
                </c:pt>
                <c:pt idx="9">
                  <c:v>217409.230769231</c:v>
                </c:pt>
                <c:pt idx="10">
                  <c:v>232486.153846154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645224"/>
        <c:axId val="534651888"/>
      </c:scatterChart>
      <c:valAx>
        <c:axId val="534645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51888"/>
        <c:crosses val="autoZero"/>
        <c:crossBetween val="midCat"/>
      </c:valAx>
      <c:valAx>
        <c:axId val="53465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45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'P41'!$D$7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'P41'!$C$8:$C$17</c:f>
              <c:numCache>
                <c:formatCode>General</c:formatCode>
                <c:ptCount val="10"/>
                <c:pt idx="0">
                  <c:v>0</c:v>
                </c:pt>
                <c:pt idx="1">
                  <c:v>0.0218978102189781</c:v>
                </c:pt>
                <c:pt idx="2">
                  <c:v>0.0364963503649635</c:v>
                </c:pt>
                <c:pt idx="3">
                  <c:v>0.0510948905109489</c:v>
                </c:pt>
                <c:pt idx="4">
                  <c:v>0.0656934306569343</c:v>
                </c:pt>
                <c:pt idx="5">
                  <c:v>0.0948905109489051</c:v>
                </c:pt>
                <c:pt idx="6">
                  <c:v>0.145985401459854</c:v>
                </c:pt>
                <c:pt idx="7">
                  <c:v>0.160583941605839</c:v>
                </c:pt>
                <c:pt idx="8">
                  <c:v>0.169343065693431</c:v>
                </c:pt>
                <c:pt idx="9">
                  <c:v>0.173722627737226</c:v>
                </c:pt>
              </c:numCache>
            </c:numRef>
          </c:xVal>
          <c:yVal>
            <c:numRef>
              <c:f>'P41'!$D$8:$D$17</c:f>
              <c:numCache>
                <c:formatCode>General</c:formatCode>
                <c:ptCount val="10"/>
                <c:pt idx="0">
                  <c:v>0</c:v>
                </c:pt>
                <c:pt idx="1">
                  <c:v>3869.74358974359</c:v>
                </c:pt>
                <c:pt idx="2">
                  <c:v>28997.9487179487</c:v>
                </c:pt>
                <c:pt idx="3">
                  <c:v>54126.1538461539</c:v>
                </c:pt>
                <c:pt idx="4">
                  <c:v>79254.358974359</c:v>
                </c:pt>
                <c:pt idx="5">
                  <c:v>129510.769230769</c:v>
                </c:pt>
                <c:pt idx="6">
                  <c:v>179767.179487179</c:v>
                </c:pt>
                <c:pt idx="7">
                  <c:v>204895.384615385</c:v>
                </c:pt>
                <c:pt idx="8">
                  <c:v>230023.58974359</c:v>
                </c:pt>
                <c:pt idx="9">
                  <c:v>280280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649144"/>
        <c:axId val="534649928"/>
      </c:scatterChart>
      <c:valAx>
        <c:axId val="534649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49928"/>
        <c:crosses val="autoZero"/>
        <c:crossBetween val="midCat"/>
      </c:valAx>
      <c:valAx>
        <c:axId val="53464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49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419100</xdr:colOff>
      <xdr:row>2</xdr:row>
      <xdr:rowOff>102870</xdr:rowOff>
    </xdr:from>
    <xdr:to>
      <xdr:col>12</xdr:col>
      <xdr:colOff>114300</xdr:colOff>
      <xdr:row>17</xdr:row>
      <xdr:rowOff>102870</xdr:rowOff>
    </xdr:to>
    <xdr:graphicFrame>
      <xdr:nvGraphicFramePr>
        <xdr:cNvPr id="2" name="Chart 1"/>
        <xdr:cNvGraphicFramePr/>
      </xdr:nvGraphicFramePr>
      <xdr:xfrm>
        <a:off x="6720840" y="46863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228600</xdr:colOff>
      <xdr:row>2</xdr:row>
      <xdr:rowOff>163830</xdr:rowOff>
    </xdr:from>
    <xdr:to>
      <xdr:col>11</xdr:col>
      <xdr:colOff>533400</xdr:colOff>
      <xdr:row>17</xdr:row>
      <xdr:rowOff>163830</xdr:rowOff>
    </xdr:to>
    <xdr:graphicFrame>
      <xdr:nvGraphicFramePr>
        <xdr:cNvPr id="3" name="Chart 2"/>
        <xdr:cNvGraphicFramePr/>
      </xdr:nvGraphicFramePr>
      <xdr:xfrm>
        <a:off x="6530340" y="529590"/>
        <a:ext cx="46253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304800</xdr:colOff>
      <xdr:row>1</xdr:row>
      <xdr:rowOff>87630</xdr:rowOff>
    </xdr:from>
    <xdr:to>
      <xdr:col>12</xdr:col>
      <xdr:colOff>0</xdr:colOff>
      <xdr:row>16</xdr:row>
      <xdr:rowOff>87630</xdr:rowOff>
    </xdr:to>
    <xdr:graphicFrame>
      <xdr:nvGraphicFramePr>
        <xdr:cNvPr id="2" name="Chart 1"/>
        <xdr:cNvGraphicFramePr/>
      </xdr:nvGraphicFramePr>
      <xdr:xfrm>
        <a:off x="6606540" y="270510"/>
        <a:ext cx="463296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167640</xdr:colOff>
      <xdr:row>3</xdr:row>
      <xdr:rowOff>11430</xdr:rowOff>
    </xdr:from>
    <xdr:to>
      <xdr:col>11</xdr:col>
      <xdr:colOff>472440</xdr:colOff>
      <xdr:row>18</xdr:row>
      <xdr:rowOff>11430</xdr:rowOff>
    </xdr:to>
    <xdr:graphicFrame>
      <xdr:nvGraphicFramePr>
        <xdr:cNvPr id="2" name="Chart 1"/>
        <xdr:cNvGraphicFramePr/>
      </xdr:nvGraphicFramePr>
      <xdr:xfrm>
        <a:off x="6469380" y="552450"/>
        <a:ext cx="46253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289560</xdr:colOff>
      <xdr:row>1</xdr:row>
      <xdr:rowOff>95250</xdr:rowOff>
    </xdr:from>
    <xdr:to>
      <xdr:col>11</xdr:col>
      <xdr:colOff>594360</xdr:colOff>
      <xdr:row>15</xdr:row>
      <xdr:rowOff>60960</xdr:rowOff>
    </xdr:to>
    <xdr:graphicFrame>
      <xdr:nvGraphicFramePr>
        <xdr:cNvPr id="4" name="Chart 3"/>
        <xdr:cNvGraphicFramePr/>
      </xdr:nvGraphicFramePr>
      <xdr:xfrm>
        <a:off x="6591300" y="278130"/>
        <a:ext cx="4625340" cy="2426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327660</xdr:colOff>
      <xdr:row>1</xdr:row>
      <xdr:rowOff>102870</xdr:rowOff>
    </xdr:from>
    <xdr:to>
      <xdr:col>12</xdr:col>
      <xdr:colOff>22860</xdr:colOff>
      <xdr:row>16</xdr:row>
      <xdr:rowOff>102870</xdr:rowOff>
    </xdr:to>
    <xdr:graphicFrame>
      <xdr:nvGraphicFramePr>
        <xdr:cNvPr id="2" name="Chart 1"/>
        <xdr:cNvGraphicFramePr/>
      </xdr:nvGraphicFramePr>
      <xdr:xfrm>
        <a:off x="6629400" y="285750"/>
        <a:ext cx="463296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426720</xdr:colOff>
      <xdr:row>2</xdr:row>
      <xdr:rowOff>87630</xdr:rowOff>
    </xdr:from>
    <xdr:to>
      <xdr:col>12</xdr:col>
      <xdr:colOff>121920</xdr:colOff>
      <xdr:row>17</xdr:row>
      <xdr:rowOff>87630</xdr:rowOff>
    </xdr:to>
    <xdr:graphicFrame>
      <xdr:nvGraphicFramePr>
        <xdr:cNvPr id="2" name="Chart 1"/>
        <xdr:cNvGraphicFramePr/>
      </xdr:nvGraphicFramePr>
      <xdr:xfrm>
        <a:off x="6728460" y="45339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274320</xdr:colOff>
      <xdr:row>3</xdr:row>
      <xdr:rowOff>171450</xdr:rowOff>
    </xdr:from>
    <xdr:to>
      <xdr:col>11</xdr:col>
      <xdr:colOff>579120</xdr:colOff>
      <xdr:row>18</xdr:row>
      <xdr:rowOff>171450</xdr:rowOff>
    </xdr:to>
    <xdr:graphicFrame>
      <xdr:nvGraphicFramePr>
        <xdr:cNvPr id="2" name="Chart 1"/>
        <xdr:cNvGraphicFramePr/>
      </xdr:nvGraphicFramePr>
      <xdr:xfrm>
        <a:off x="6576060" y="712470"/>
        <a:ext cx="46253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198120</xdr:colOff>
      <xdr:row>1</xdr:row>
      <xdr:rowOff>163830</xdr:rowOff>
    </xdr:from>
    <xdr:to>
      <xdr:col>11</xdr:col>
      <xdr:colOff>502920</xdr:colOff>
      <xdr:row>16</xdr:row>
      <xdr:rowOff>163830</xdr:rowOff>
    </xdr:to>
    <xdr:graphicFrame>
      <xdr:nvGraphicFramePr>
        <xdr:cNvPr id="2" name="Chart 1"/>
        <xdr:cNvGraphicFramePr/>
      </xdr:nvGraphicFramePr>
      <xdr:xfrm>
        <a:off x="6499860" y="34671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152400</xdr:colOff>
      <xdr:row>1</xdr:row>
      <xdr:rowOff>148590</xdr:rowOff>
    </xdr:from>
    <xdr:to>
      <xdr:col>11</xdr:col>
      <xdr:colOff>457200</xdr:colOff>
      <xdr:row>16</xdr:row>
      <xdr:rowOff>148590</xdr:rowOff>
    </xdr:to>
    <xdr:graphicFrame>
      <xdr:nvGraphicFramePr>
        <xdr:cNvPr id="2" name="Chart 1"/>
        <xdr:cNvGraphicFramePr/>
      </xdr:nvGraphicFramePr>
      <xdr:xfrm>
        <a:off x="6454140" y="33147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335280</xdr:colOff>
      <xdr:row>2</xdr:row>
      <xdr:rowOff>80010</xdr:rowOff>
    </xdr:from>
    <xdr:to>
      <xdr:col>12</xdr:col>
      <xdr:colOff>30480</xdr:colOff>
      <xdr:row>17</xdr:row>
      <xdr:rowOff>80010</xdr:rowOff>
    </xdr:to>
    <xdr:graphicFrame>
      <xdr:nvGraphicFramePr>
        <xdr:cNvPr id="2" name="Chart 1"/>
        <xdr:cNvGraphicFramePr/>
      </xdr:nvGraphicFramePr>
      <xdr:xfrm>
        <a:off x="6637020" y="44577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281940</xdr:colOff>
      <xdr:row>1</xdr:row>
      <xdr:rowOff>133350</xdr:rowOff>
    </xdr:from>
    <xdr:to>
      <xdr:col>11</xdr:col>
      <xdr:colOff>586740</xdr:colOff>
      <xdr:row>15</xdr:row>
      <xdr:rowOff>133350</xdr:rowOff>
    </xdr:to>
    <xdr:graphicFrame>
      <xdr:nvGraphicFramePr>
        <xdr:cNvPr id="3" name="Chart 2"/>
        <xdr:cNvGraphicFramePr/>
      </xdr:nvGraphicFramePr>
      <xdr:xfrm>
        <a:off x="6583680" y="316230"/>
        <a:ext cx="4625340" cy="2461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236220</xdr:colOff>
      <xdr:row>3</xdr:row>
      <xdr:rowOff>34290</xdr:rowOff>
    </xdr:from>
    <xdr:to>
      <xdr:col>11</xdr:col>
      <xdr:colOff>541020</xdr:colOff>
      <xdr:row>18</xdr:row>
      <xdr:rowOff>34290</xdr:rowOff>
    </xdr:to>
    <xdr:graphicFrame>
      <xdr:nvGraphicFramePr>
        <xdr:cNvPr id="2" name="Chart 1"/>
        <xdr:cNvGraphicFramePr/>
      </xdr:nvGraphicFramePr>
      <xdr:xfrm>
        <a:off x="6537960" y="575310"/>
        <a:ext cx="46253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396240</xdr:colOff>
      <xdr:row>1</xdr:row>
      <xdr:rowOff>41910</xdr:rowOff>
    </xdr:from>
    <xdr:to>
      <xdr:col>12</xdr:col>
      <xdr:colOff>91440</xdr:colOff>
      <xdr:row>16</xdr:row>
      <xdr:rowOff>41910</xdr:rowOff>
    </xdr:to>
    <xdr:graphicFrame>
      <xdr:nvGraphicFramePr>
        <xdr:cNvPr id="2" name="Chart 1"/>
        <xdr:cNvGraphicFramePr/>
      </xdr:nvGraphicFramePr>
      <xdr:xfrm>
        <a:off x="6697980" y="224790"/>
        <a:ext cx="463296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152400</xdr:colOff>
      <xdr:row>1</xdr:row>
      <xdr:rowOff>118110</xdr:rowOff>
    </xdr:from>
    <xdr:to>
      <xdr:col>11</xdr:col>
      <xdr:colOff>457200</xdr:colOff>
      <xdr:row>16</xdr:row>
      <xdr:rowOff>118110</xdr:rowOff>
    </xdr:to>
    <xdr:graphicFrame>
      <xdr:nvGraphicFramePr>
        <xdr:cNvPr id="2" name="Chart 1"/>
        <xdr:cNvGraphicFramePr/>
      </xdr:nvGraphicFramePr>
      <xdr:xfrm>
        <a:off x="6454140" y="30099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472440</xdr:colOff>
      <xdr:row>4</xdr:row>
      <xdr:rowOff>11430</xdr:rowOff>
    </xdr:from>
    <xdr:to>
      <xdr:col>12</xdr:col>
      <xdr:colOff>167640</xdr:colOff>
      <xdr:row>19</xdr:row>
      <xdr:rowOff>11430</xdr:rowOff>
    </xdr:to>
    <xdr:graphicFrame>
      <xdr:nvGraphicFramePr>
        <xdr:cNvPr id="4" name="Chart 3"/>
        <xdr:cNvGraphicFramePr/>
      </xdr:nvGraphicFramePr>
      <xdr:xfrm>
        <a:off x="6774180" y="72771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213360</xdr:colOff>
      <xdr:row>1</xdr:row>
      <xdr:rowOff>41910</xdr:rowOff>
    </xdr:from>
    <xdr:to>
      <xdr:col>11</xdr:col>
      <xdr:colOff>518160</xdr:colOff>
      <xdr:row>16</xdr:row>
      <xdr:rowOff>41910</xdr:rowOff>
    </xdr:to>
    <xdr:graphicFrame>
      <xdr:nvGraphicFramePr>
        <xdr:cNvPr id="2" name="Chart 1"/>
        <xdr:cNvGraphicFramePr/>
      </xdr:nvGraphicFramePr>
      <xdr:xfrm>
        <a:off x="6515100" y="22479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449580</xdr:colOff>
      <xdr:row>2</xdr:row>
      <xdr:rowOff>102870</xdr:rowOff>
    </xdr:from>
    <xdr:to>
      <xdr:col>12</xdr:col>
      <xdr:colOff>144780</xdr:colOff>
      <xdr:row>18</xdr:row>
      <xdr:rowOff>30480</xdr:rowOff>
    </xdr:to>
    <xdr:graphicFrame>
      <xdr:nvGraphicFramePr>
        <xdr:cNvPr id="2" name="Chart 1"/>
        <xdr:cNvGraphicFramePr/>
      </xdr:nvGraphicFramePr>
      <xdr:xfrm>
        <a:off x="6751320" y="468630"/>
        <a:ext cx="4632960" cy="2731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289560</xdr:colOff>
      <xdr:row>2</xdr:row>
      <xdr:rowOff>125730</xdr:rowOff>
    </xdr:from>
    <xdr:to>
      <xdr:col>11</xdr:col>
      <xdr:colOff>594360</xdr:colOff>
      <xdr:row>17</xdr:row>
      <xdr:rowOff>125730</xdr:rowOff>
    </xdr:to>
    <xdr:graphicFrame>
      <xdr:nvGraphicFramePr>
        <xdr:cNvPr id="2" name="Chart 1"/>
        <xdr:cNvGraphicFramePr/>
      </xdr:nvGraphicFramePr>
      <xdr:xfrm>
        <a:off x="6591300" y="491490"/>
        <a:ext cx="46253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274320</xdr:colOff>
      <xdr:row>1</xdr:row>
      <xdr:rowOff>72390</xdr:rowOff>
    </xdr:from>
    <xdr:to>
      <xdr:col>11</xdr:col>
      <xdr:colOff>579120</xdr:colOff>
      <xdr:row>16</xdr:row>
      <xdr:rowOff>72390</xdr:rowOff>
    </xdr:to>
    <xdr:graphicFrame>
      <xdr:nvGraphicFramePr>
        <xdr:cNvPr id="2" name="Chart 1"/>
        <xdr:cNvGraphicFramePr/>
      </xdr:nvGraphicFramePr>
      <xdr:xfrm>
        <a:off x="6576060" y="25527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563880</xdr:colOff>
      <xdr:row>2</xdr:row>
      <xdr:rowOff>49530</xdr:rowOff>
    </xdr:from>
    <xdr:to>
      <xdr:col>12</xdr:col>
      <xdr:colOff>259080</xdr:colOff>
      <xdr:row>17</xdr:row>
      <xdr:rowOff>49530</xdr:rowOff>
    </xdr:to>
    <xdr:graphicFrame>
      <xdr:nvGraphicFramePr>
        <xdr:cNvPr id="2" name="Chart 1"/>
        <xdr:cNvGraphicFramePr/>
      </xdr:nvGraphicFramePr>
      <xdr:xfrm>
        <a:off x="6865620" y="41529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350520</xdr:colOff>
      <xdr:row>2</xdr:row>
      <xdr:rowOff>133350</xdr:rowOff>
    </xdr:from>
    <xdr:to>
      <xdr:col>12</xdr:col>
      <xdr:colOff>45720</xdr:colOff>
      <xdr:row>17</xdr:row>
      <xdr:rowOff>133350</xdr:rowOff>
    </xdr:to>
    <xdr:graphicFrame>
      <xdr:nvGraphicFramePr>
        <xdr:cNvPr id="2" name="Chart 1"/>
        <xdr:cNvGraphicFramePr/>
      </xdr:nvGraphicFramePr>
      <xdr:xfrm>
        <a:off x="6652260" y="49911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548640</xdr:colOff>
      <xdr:row>2</xdr:row>
      <xdr:rowOff>72390</xdr:rowOff>
    </xdr:from>
    <xdr:to>
      <xdr:col>12</xdr:col>
      <xdr:colOff>243840</xdr:colOff>
      <xdr:row>17</xdr:row>
      <xdr:rowOff>72390</xdr:rowOff>
    </xdr:to>
    <xdr:graphicFrame>
      <xdr:nvGraphicFramePr>
        <xdr:cNvPr id="3" name="Chart 2"/>
        <xdr:cNvGraphicFramePr/>
      </xdr:nvGraphicFramePr>
      <xdr:xfrm>
        <a:off x="6850380" y="43815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228600</xdr:colOff>
      <xdr:row>3</xdr:row>
      <xdr:rowOff>57150</xdr:rowOff>
    </xdr:from>
    <xdr:to>
      <xdr:col>12</xdr:col>
      <xdr:colOff>533400</xdr:colOff>
      <xdr:row>18</xdr:row>
      <xdr:rowOff>57150</xdr:rowOff>
    </xdr:to>
    <xdr:graphicFrame>
      <xdr:nvGraphicFramePr>
        <xdr:cNvPr id="2" name="Chart 1"/>
        <xdr:cNvGraphicFramePr/>
      </xdr:nvGraphicFramePr>
      <xdr:xfrm>
        <a:off x="7147560" y="598170"/>
        <a:ext cx="46253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251460</xdr:colOff>
      <xdr:row>2</xdr:row>
      <xdr:rowOff>41910</xdr:rowOff>
    </xdr:from>
    <xdr:to>
      <xdr:col>11</xdr:col>
      <xdr:colOff>556260</xdr:colOff>
      <xdr:row>17</xdr:row>
      <xdr:rowOff>41910</xdr:rowOff>
    </xdr:to>
    <xdr:graphicFrame>
      <xdr:nvGraphicFramePr>
        <xdr:cNvPr id="2" name="Chart 1"/>
        <xdr:cNvGraphicFramePr/>
      </xdr:nvGraphicFramePr>
      <xdr:xfrm>
        <a:off x="6553200" y="407670"/>
        <a:ext cx="46253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396240</xdr:colOff>
      <xdr:row>2</xdr:row>
      <xdr:rowOff>87630</xdr:rowOff>
    </xdr:from>
    <xdr:to>
      <xdr:col>12</xdr:col>
      <xdr:colOff>91440</xdr:colOff>
      <xdr:row>17</xdr:row>
      <xdr:rowOff>87630</xdr:rowOff>
    </xdr:to>
    <xdr:graphicFrame>
      <xdr:nvGraphicFramePr>
        <xdr:cNvPr id="2" name="Chart 1"/>
        <xdr:cNvGraphicFramePr/>
      </xdr:nvGraphicFramePr>
      <xdr:xfrm>
        <a:off x="6697980" y="45339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281940</xdr:colOff>
      <xdr:row>1</xdr:row>
      <xdr:rowOff>140970</xdr:rowOff>
    </xdr:from>
    <xdr:to>
      <xdr:col>11</xdr:col>
      <xdr:colOff>586740</xdr:colOff>
      <xdr:row>16</xdr:row>
      <xdr:rowOff>140970</xdr:rowOff>
    </xdr:to>
    <xdr:graphicFrame>
      <xdr:nvGraphicFramePr>
        <xdr:cNvPr id="2" name="Chart 1"/>
        <xdr:cNvGraphicFramePr/>
      </xdr:nvGraphicFramePr>
      <xdr:xfrm>
        <a:off x="6583680" y="32385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548640</xdr:colOff>
      <xdr:row>1</xdr:row>
      <xdr:rowOff>64770</xdr:rowOff>
    </xdr:from>
    <xdr:to>
      <xdr:col>14</xdr:col>
      <xdr:colOff>236220</xdr:colOff>
      <xdr:row>16</xdr:row>
      <xdr:rowOff>64770</xdr:rowOff>
    </xdr:to>
    <xdr:graphicFrame>
      <xdr:nvGraphicFramePr>
        <xdr:cNvPr id="2" name="Chart 1"/>
        <xdr:cNvGraphicFramePr/>
      </xdr:nvGraphicFramePr>
      <xdr:xfrm>
        <a:off x="8084820" y="24765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464820</xdr:colOff>
      <xdr:row>2</xdr:row>
      <xdr:rowOff>148590</xdr:rowOff>
    </xdr:from>
    <xdr:to>
      <xdr:col>10</xdr:col>
      <xdr:colOff>739140</xdr:colOff>
      <xdr:row>17</xdr:row>
      <xdr:rowOff>148590</xdr:rowOff>
    </xdr:to>
    <xdr:graphicFrame>
      <xdr:nvGraphicFramePr>
        <xdr:cNvPr id="2" name="Chart 1"/>
        <xdr:cNvGraphicFramePr/>
      </xdr:nvGraphicFramePr>
      <xdr:xfrm>
        <a:off x="6766560" y="514350"/>
        <a:ext cx="45948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365760</xdr:colOff>
      <xdr:row>2</xdr:row>
      <xdr:rowOff>49530</xdr:rowOff>
    </xdr:from>
    <xdr:to>
      <xdr:col>12</xdr:col>
      <xdr:colOff>60960</xdr:colOff>
      <xdr:row>17</xdr:row>
      <xdr:rowOff>49530</xdr:rowOff>
    </xdr:to>
    <xdr:graphicFrame>
      <xdr:nvGraphicFramePr>
        <xdr:cNvPr id="2" name="Chart 1"/>
        <xdr:cNvGraphicFramePr/>
      </xdr:nvGraphicFramePr>
      <xdr:xfrm>
        <a:off x="6667500" y="41529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312420</xdr:colOff>
      <xdr:row>1</xdr:row>
      <xdr:rowOff>148590</xdr:rowOff>
    </xdr:from>
    <xdr:to>
      <xdr:col>12</xdr:col>
      <xdr:colOff>7620</xdr:colOff>
      <xdr:row>16</xdr:row>
      <xdr:rowOff>148590</xdr:rowOff>
    </xdr:to>
    <xdr:graphicFrame>
      <xdr:nvGraphicFramePr>
        <xdr:cNvPr id="2" name="Chart 1"/>
        <xdr:cNvGraphicFramePr/>
      </xdr:nvGraphicFramePr>
      <xdr:xfrm>
        <a:off x="6614160" y="331470"/>
        <a:ext cx="463296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182880</xdr:colOff>
      <xdr:row>2</xdr:row>
      <xdr:rowOff>118110</xdr:rowOff>
    </xdr:from>
    <xdr:to>
      <xdr:col>11</xdr:col>
      <xdr:colOff>487680</xdr:colOff>
      <xdr:row>17</xdr:row>
      <xdr:rowOff>118110</xdr:rowOff>
    </xdr:to>
    <xdr:graphicFrame>
      <xdr:nvGraphicFramePr>
        <xdr:cNvPr id="3" name="Chart 2"/>
        <xdr:cNvGraphicFramePr/>
      </xdr:nvGraphicFramePr>
      <xdr:xfrm>
        <a:off x="6484620" y="483870"/>
        <a:ext cx="46253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327660</xdr:colOff>
      <xdr:row>1</xdr:row>
      <xdr:rowOff>156210</xdr:rowOff>
    </xdr:from>
    <xdr:to>
      <xdr:col>12</xdr:col>
      <xdr:colOff>22860</xdr:colOff>
      <xdr:row>16</xdr:row>
      <xdr:rowOff>156210</xdr:rowOff>
    </xdr:to>
    <xdr:graphicFrame>
      <xdr:nvGraphicFramePr>
        <xdr:cNvPr id="2" name="Chart 1"/>
        <xdr:cNvGraphicFramePr/>
      </xdr:nvGraphicFramePr>
      <xdr:xfrm>
        <a:off x="6629400" y="339090"/>
        <a:ext cx="463296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312420</xdr:colOff>
      <xdr:row>1</xdr:row>
      <xdr:rowOff>171450</xdr:rowOff>
    </xdr:from>
    <xdr:to>
      <xdr:col>12</xdr:col>
      <xdr:colOff>7620</xdr:colOff>
      <xdr:row>16</xdr:row>
      <xdr:rowOff>171450</xdr:rowOff>
    </xdr:to>
    <xdr:graphicFrame>
      <xdr:nvGraphicFramePr>
        <xdr:cNvPr id="2" name="Chart 1"/>
        <xdr:cNvGraphicFramePr/>
      </xdr:nvGraphicFramePr>
      <xdr:xfrm>
        <a:off x="6614160" y="354330"/>
        <a:ext cx="463296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251460</xdr:colOff>
      <xdr:row>1</xdr:row>
      <xdr:rowOff>102870</xdr:rowOff>
    </xdr:from>
    <xdr:to>
      <xdr:col>11</xdr:col>
      <xdr:colOff>556260</xdr:colOff>
      <xdr:row>16</xdr:row>
      <xdr:rowOff>102870</xdr:rowOff>
    </xdr:to>
    <xdr:graphicFrame>
      <xdr:nvGraphicFramePr>
        <xdr:cNvPr id="2" name="Chart 1"/>
        <xdr:cNvGraphicFramePr/>
      </xdr:nvGraphicFramePr>
      <xdr:xfrm>
        <a:off x="6553200" y="28575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304800</xdr:colOff>
      <xdr:row>2</xdr:row>
      <xdr:rowOff>26670</xdr:rowOff>
    </xdr:from>
    <xdr:to>
      <xdr:col>12</xdr:col>
      <xdr:colOff>0</xdr:colOff>
      <xdr:row>17</xdr:row>
      <xdr:rowOff>26670</xdr:rowOff>
    </xdr:to>
    <xdr:graphicFrame>
      <xdr:nvGraphicFramePr>
        <xdr:cNvPr id="2" name="Chart 1"/>
        <xdr:cNvGraphicFramePr/>
      </xdr:nvGraphicFramePr>
      <xdr:xfrm>
        <a:off x="6606540" y="39243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480060</xdr:colOff>
      <xdr:row>3</xdr:row>
      <xdr:rowOff>3810</xdr:rowOff>
    </xdr:from>
    <xdr:to>
      <xdr:col>12</xdr:col>
      <xdr:colOff>175260</xdr:colOff>
      <xdr:row>18</xdr:row>
      <xdr:rowOff>3810</xdr:rowOff>
    </xdr:to>
    <xdr:graphicFrame>
      <xdr:nvGraphicFramePr>
        <xdr:cNvPr id="2" name="Chart 1"/>
        <xdr:cNvGraphicFramePr/>
      </xdr:nvGraphicFramePr>
      <xdr:xfrm>
        <a:off x="6781800" y="54483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220980</xdr:colOff>
      <xdr:row>2</xdr:row>
      <xdr:rowOff>133350</xdr:rowOff>
    </xdr:from>
    <xdr:to>
      <xdr:col>11</xdr:col>
      <xdr:colOff>525780</xdr:colOff>
      <xdr:row>17</xdr:row>
      <xdr:rowOff>133350</xdr:rowOff>
    </xdr:to>
    <xdr:graphicFrame>
      <xdr:nvGraphicFramePr>
        <xdr:cNvPr id="2" name="Chart 1"/>
        <xdr:cNvGraphicFramePr/>
      </xdr:nvGraphicFramePr>
      <xdr:xfrm>
        <a:off x="6522720" y="499110"/>
        <a:ext cx="46253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297180</xdr:colOff>
      <xdr:row>1</xdr:row>
      <xdr:rowOff>140970</xdr:rowOff>
    </xdr:from>
    <xdr:to>
      <xdr:col>11</xdr:col>
      <xdr:colOff>601980</xdr:colOff>
      <xdr:row>16</xdr:row>
      <xdr:rowOff>140970</xdr:rowOff>
    </xdr:to>
    <xdr:graphicFrame>
      <xdr:nvGraphicFramePr>
        <xdr:cNvPr id="2" name="Chart 1"/>
        <xdr:cNvGraphicFramePr/>
      </xdr:nvGraphicFramePr>
      <xdr:xfrm>
        <a:off x="6598920" y="32385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457200</xdr:colOff>
      <xdr:row>1</xdr:row>
      <xdr:rowOff>163830</xdr:rowOff>
    </xdr:from>
    <xdr:to>
      <xdr:col>12</xdr:col>
      <xdr:colOff>152400</xdr:colOff>
      <xdr:row>16</xdr:row>
      <xdr:rowOff>163830</xdr:rowOff>
    </xdr:to>
    <xdr:graphicFrame>
      <xdr:nvGraphicFramePr>
        <xdr:cNvPr id="2" name="Chart 1"/>
        <xdr:cNvGraphicFramePr/>
      </xdr:nvGraphicFramePr>
      <xdr:xfrm>
        <a:off x="6758940" y="346710"/>
        <a:ext cx="463296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388620</xdr:colOff>
      <xdr:row>3</xdr:row>
      <xdr:rowOff>57150</xdr:rowOff>
    </xdr:from>
    <xdr:to>
      <xdr:col>12</xdr:col>
      <xdr:colOff>83820</xdr:colOff>
      <xdr:row>18</xdr:row>
      <xdr:rowOff>57150</xdr:rowOff>
    </xdr:to>
    <xdr:graphicFrame>
      <xdr:nvGraphicFramePr>
        <xdr:cNvPr id="3" name="Chart 2"/>
        <xdr:cNvGraphicFramePr/>
      </xdr:nvGraphicFramePr>
      <xdr:xfrm>
        <a:off x="6690360" y="59817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D23"/>
  <sheetViews>
    <sheetView workbookViewId="0">
      <selection activeCell="B14" sqref="B14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1</v>
      </c>
    </row>
    <row r="2" ht="14.4" spans="1:2">
      <c r="A2" s="3" t="s">
        <v>2</v>
      </c>
      <c r="B2" s="4"/>
    </row>
    <row r="3" spans="1:3">
      <c r="A3" s="5" t="s">
        <v>3</v>
      </c>
      <c r="B3" s="6">
        <v>12.5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3.75e-5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9">
        <v>0</v>
      </c>
      <c r="B8" s="29">
        <v>65.5</v>
      </c>
      <c r="C8" s="10">
        <v>0</v>
      </c>
      <c r="D8" s="10">
        <v>0</v>
      </c>
    </row>
    <row r="9" spans="1:4">
      <c r="A9" s="30">
        <v>20.8</v>
      </c>
      <c r="B9" s="30">
        <v>66</v>
      </c>
      <c r="C9" s="10">
        <f>(B9-B8)/B8</f>
        <v>0.00763358778625954</v>
      </c>
      <c r="D9" s="10">
        <f>(A9*9.8/1000)/(C4)</f>
        <v>5435.73333333333</v>
      </c>
    </row>
    <row r="10" spans="1:4">
      <c r="A10" s="30">
        <v>120.8</v>
      </c>
      <c r="B10" s="30">
        <v>68</v>
      </c>
      <c r="C10" s="10">
        <f>(B10-B8)/B8</f>
        <v>0.0381679389312977</v>
      </c>
      <c r="D10" s="10">
        <f>(A10*9.8/1000)/(C4)</f>
        <v>31569.0666666667</v>
      </c>
    </row>
    <row r="11" spans="1:4">
      <c r="A11" s="30">
        <v>220.8</v>
      </c>
      <c r="B11" s="30">
        <v>69</v>
      </c>
      <c r="C11" s="10">
        <f>(B11-B8)/B8</f>
        <v>0.0534351145038168</v>
      </c>
      <c r="D11" s="10">
        <f>(A11*9.8/1000)/(C4)</f>
        <v>57702.4</v>
      </c>
    </row>
    <row r="12" spans="1:4">
      <c r="A12" s="30">
        <v>270.8</v>
      </c>
      <c r="B12" s="30">
        <v>70</v>
      </c>
      <c r="C12" s="10">
        <f>(B12-B8)/B8</f>
        <v>0.0687022900763359</v>
      </c>
      <c r="D12" s="10">
        <f>(A12*9.8/1000)/(C4)</f>
        <v>70769.0666666667</v>
      </c>
    </row>
    <row r="13" spans="1:4">
      <c r="A13" s="30">
        <v>320.8</v>
      </c>
      <c r="B13" s="30">
        <v>72</v>
      </c>
      <c r="C13" s="10">
        <f>(B13-B8)/B8</f>
        <v>0.099236641221374</v>
      </c>
      <c r="D13" s="10">
        <f>(A13*9.8/1000)/(C4)</f>
        <v>83835.7333333333</v>
      </c>
    </row>
    <row r="14" spans="1:4">
      <c r="A14" s="30">
        <v>370.8</v>
      </c>
      <c r="B14" s="30">
        <v>72.1</v>
      </c>
      <c r="C14" s="10">
        <f>(B14-B8)/B8</f>
        <v>0.100763358778626</v>
      </c>
      <c r="D14" s="10">
        <f>(A14*9.8/1000)/(C4)</f>
        <v>96902.4</v>
      </c>
    </row>
    <row r="15" spans="1:4">
      <c r="A15" s="30">
        <v>420.8</v>
      </c>
      <c r="B15" s="30">
        <v>73</v>
      </c>
      <c r="C15" s="10">
        <f>(B15-B8)/B8</f>
        <v>0.114503816793893</v>
      </c>
      <c r="D15" s="10">
        <f>(A15*9.8/1000)/(C4)</f>
        <v>109969.066666667</v>
      </c>
    </row>
    <row r="16" spans="1:4">
      <c r="A16" s="30">
        <v>520.8</v>
      </c>
      <c r="B16" s="30">
        <v>74</v>
      </c>
      <c r="C16" s="10">
        <f>(B16-B8)/B8</f>
        <v>0.129770992366412</v>
      </c>
      <c r="D16" s="10">
        <f>(A16*9.8/1000)/(C4)</f>
        <v>136102.4</v>
      </c>
    </row>
    <row r="17" spans="1:4">
      <c r="A17" s="30">
        <v>620.8</v>
      </c>
      <c r="B17" s="30">
        <v>77.5</v>
      </c>
      <c r="C17" s="10">
        <f>(B17-B8)/B8</f>
        <v>0.183206106870229</v>
      </c>
      <c r="D17" s="10">
        <f>(A17*9.8/1000)/(C4)</f>
        <v>162235.733333333</v>
      </c>
    </row>
    <row r="18" spans="1:4">
      <c r="A18" s="30">
        <v>720.8</v>
      </c>
      <c r="B18" s="30">
        <v>79</v>
      </c>
      <c r="C18" s="10">
        <f>(B18-B8)/B8</f>
        <v>0.206106870229008</v>
      </c>
      <c r="D18" s="10">
        <f>(A18*9.8/1000)/(C4)</f>
        <v>188369.066666667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916340.640499405</v>
      </c>
    </row>
    <row r="22" spans="2:3">
      <c r="B22">
        <f>STEYX(D8:D18,C8:C18)</f>
        <v>7587.7794680586</v>
      </c>
      <c r="C22">
        <v>920000</v>
      </c>
    </row>
    <row r="23" spans="2:3">
      <c r="B23">
        <f>1.96*B22</f>
        <v>14872.0477573948</v>
      </c>
      <c r="C23">
        <v>10000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23"/>
  <sheetViews>
    <sheetView workbookViewId="0">
      <selection activeCell="C21" sqref="C21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17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65">
        <v>2.5</v>
      </c>
      <c r="C4" s="32">
        <f>(B3/1000)*(B4/1000)</f>
        <v>3.25e-5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72</v>
      </c>
      <c r="C8" s="10">
        <v>0</v>
      </c>
      <c r="D8" s="10">
        <v>0</v>
      </c>
    </row>
    <row r="9" spans="1:4">
      <c r="A9" s="10">
        <v>15.6</v>
      </c>
      <c r="B9" s="10">
        <v>72.5</v>
      </c>
      <c r="C9" s="10">
        <f>(B9-B8)/B8</f>
        <v>0.00694444444444444</v>
      </c>
      <c r="D9" s="10">
        <f>(A9*9.8/1000)/(C4)</f>
        <v>4704</v>
      </c>
    </row>
    <row r="10" spans="1:4">
      <c r="A10" s="10">
        <v>115.6</v>
      </c>
      <c r="B10" s="10">
        <v>73.5</v>
      </c>
      <c r="C10" s="10">
        <f>(B10-B8)/B8</f>
        <v>0.0208333333333333</v>
      </c>
      <c r="D10" s="10">
        <f>(A10*9.8/1000)/(C4)</f>
        <v>34857.8461538462</v>
      </c>
    </row>
    <row r="11" spans="1:4">
      <c r="A11" s="10">
        <v>215.6</v>
      </c>
      <c r="B11" s="10">
        <v>75.2</v>
      </c>
      <c r="C11" s="10">
        <f>(B11-B8)/B8</f>
        <v>0.0444444444444445</v>
      </c>
      <c r="D11" s="10">
        <f>(A11*9.8/1000)/(C4)</f>
        <v>65011.6923076923</v>
      </c>
    </row>
    <row r="12" spans="1:4">
      <c r="A12" s="10">
        <v>315.6</v>
      </c>
      <c r="B12" s="10">
        <v>77</v>
      </c>
      <c r="C12" s="10">
        <f>(B12-B8)/B8</f>
        <v>0.0694444444444444</v>
      </c>
      <c r="D12" s="10">
        <f>(A12*9.8/1000)/(C4)</f>
        <v>95165.5384615385</v>
      </c>
    </row>
    <row r="13" spans="1:4">
      <c r="A13" s="10">
        <v>415.6</v>
      </c>
      <c r="B13" s="10">
        <v>78</v>
      </c>
      <c r="C13" s="10">
        <f>(B13-B8)/B8</f>
        <v>0.0833333333333333</v>
      </c>
      <c r="D13" s="10">
        <f>(A13*9.8/1000)/(C4)</f>
        <v>125319.384615385</v>
      </c>
    </row>
    <row r="14" spans="1:4">
      <c r="A14" s="10">
        <v>515.6</v>
      </c>
      <c r="B14" s="10">
        <v>80.5</v>
      </c>
      <c r="C14" s="10">
        <f>(B14-B8)/B8</f>
        <v>0.118055555555556</v>
      </c>
      <c r="D14" s="10">
        <f>(A14*9.8/1000)/(C4)</f>
        <v>155473.230769231</v>
      </c>
    </row>
    <row r="15" spans="1:4">
      <c r="A15" s="10">
        <v>615.6</v>
      </c>
      <c r="B15" s="10">
        <v>82</v>
      </c>
      <c r="C15" s="10">
        <f>(B15-B8)/B8</f>
        <v>0.138888888888889</v>
      </c>
      <c r="D15" s="10">
        <f>(A15*9.8/1000)/(C4)</f>
        <v>185627.076923077</v>
      </c>
    </row>
    <row r="16" spans="1:4">
      <c r="A16" s="10">
        <v>815.6</v>
      </c>
      <c r="B16" s="10">
        <v>86.3</v>
      </c>
      <c r="C16" s="10">
        <f>(B16-B8)/B8</f>
        <v>0.198611111111111</v>
      </c>
      <c r="D16" s="10">
        <f>(A16*9.8/1000)/(C4)</f>
        <v>245934.769230769</v>
      </c>
    </row>
    <row r="17" spans="1:4">
      <c r="A17" s="10">
        <v>1015.6</v>
      </c>
      <c r="B17" s="10">
        <v>91</v>
      </c>
      <c r="C17" s="10">
        <f>(B17-B8)/B8</f>
        <v>0.263888888888889</v>
      </c>
      <c r="D17" s="10">
        <f>(A17*9.8/1000)/(C4)</f>
        <v>306242.461538462</v>
      </c>
    </row>
    <row r="18" spans="1:4">
      <c r="A18" s="10">
        <v>1215.6</v>
      </c>
      <c r="B18" s="10">
        <v>95.3</v>
      </c>
      <c r="C18" s="10">
        <f>(B18-B8)/B8</f>
        <v>0.323611111111111</v>
      </c>
      <c r="D18" s="10">
        <f>(A18*9.8/1000)/(C4)</f>
        <v>366550.153846154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1133229.51531421</v>
      </c>
    </row>
    <row r="22" spans="2:3">
      <c r="B22">
        <f>STEYX(D8:D18,C8:C18)</f>
        <v>12213.2651678403</v>
      </c>
      <c r="C22">
        <v>1130000</v>
      </c>
    </row>
    <row r="23" spans="2:3">
      <c r="B23">
        <f>1.96*B22</f>
        <v>23937.9997289669</v>
      </c>
      <c r="C23">
        <v>20000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D23"/>
  <sheetViews>
    <sheetView workbookViewId="0">
      <selection activeCell="C22" sqref="C2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18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69</v>
      </c>
      <c r="C8" s="10">
        <v>0</v>
      </c>
      <c r="D8" s="10">
        <v>0</v>
      </c>
    </row>
    <row r="9" spans="1:4">
      <c r="A9" s="10">
        <v>12.8</v>
      </c>
      <c r="B9" s="10">
        <v>70</v>
      </c>
      <c r="C9" s="10">
        <f>(B9-B8)/B8</f>
        <v>0.0144927536231884</v>
      </c>
      <c r="D9" s="10">
        <f>(A9*9.8/1000)/(C4)</f>
        <v>3216.41025641026</v>
      </c>
    </row>
    <row r="10" spans="1:4">
      <c r="A10" s="10">
        <v>112.8</v>
      </c>
      <c r="B10" s="10">
        <v>75</v>
      </c>
      <c r="C10" s="10">
        <f>(B10-B8)/B8</f>
        <v>0.0869565217391304</v>
      </c>
      <c r="D10" s="10">
        <f>(A10*9.8/1000)/(C4)</f>
        <v>28344.6153846154</v>
      </c>
    </row>
    <row r="11" spans="1:4">
      <c r="A11" s="10">
        <v>162.8</v>
      </c>
      <c r="B11" s="10">
        <v>78</v>
      </c>
      <c r="C11" s="10">
        <f>(B11-B8)/B8</f>
        <v>0.130434782608696</v>
      </c>
      <c r="D11" s="10">
        <f>(A11*9.8/1000)/(C4)</f>
        <v>40908.717948718</v>
      </c>
    </row>
    <row r="12" spans="1:4">
      <c r="A12" s="10">
        <v>212.8</v>
      </c>
      <c r="B12" s="10">
        <v>80</v>
      </c>
      <c r="C12" s="10">
        <f>(B12-B8)/B8</f>
        <v>0.159420289855072</v>
      </c>
      <c r="D12" s="10">
        <f>(A12*9.8/1000)/(C4)</f>
        <v>53472.8205128205</v>
      </c>
    </row>
    <row r="13" spans="1:4">
      <c r="A13" s="10">
        <v>262.5</v>
      </c>
      <c r="B13" s="10">
        <v>84</v>
      </c>
      <c r="C13" s="10">
        <f>(B13-B8)/B8</f>
        <v>0.217391304347826</v>
      </c>
      <c r="D13" s="10">
        <f>(A13*9.8/1000)/(C4)</f>
        <v>65961.5384615385</v>
      </c>
    </row>
    <row r="14" spans="1:4">
      <c r="A14" s="10">
        <v>312.5</v>
      </c>
      <c r="B14" s="10">
        <v>87</v>
      </c>
      <c r="C14" s="10">
        <f>(B14-B8)/B8</f>
        <v>0.260869565217391</v>
      </c>
      <c r="D14" s="10">
        <f>(A14*9.8/1000)/(C4)</f>
        <v>78525.641025641</v>
      </c>
    </row>
    <row r="15" spans="1:4">
      <c r="A15" s="10">
        <v>333.4</v>
      </c>
      <c r="B15" s="10">
        <v>91</v>
      </c>
      <c r="C15" s="10">
        <f>(B15-B8)/B8</f>
        <v>0.318840579710145</v>
      </c>
      <c r="D15" s="10">
        <f>(A15*9.8/1000)/(C4)</f>
        <v>83777.4358974359</v>
      </c>
    </row>
    <row r="16" spans="1:4">
      <c r="A16" s="10">
        <v>354</v>
      </c>
      <c r="B16" s="10">
        <v>93</v>
      </c>
      <c r="C16" s="10">
        <f>(B16-B8)/B8</f>
        <v>0.347826086956522</v>
      </c>
      <c r="D16" s="10">
        <f>(A16*9.8/1000)/(C4)</f>
        <v>88953.8461538462</v>
      </c>
    </row>
    <row r="17" spans="1:4">
      <c r="A17" s="10">
        <v>369.5</v>
      </c>
      <c r="B17" s="10">
        <v>94</v>
      </c>
      <c r="C17" s="10">
        <f>(B17-B8)/B8</f>
        <v>0.36231884057971</v>
      </c>
      <c r="D17" s="10">
        <f>(A17*9.8/1000)/(C4)</f>
        <v>92848.717948718</v>
      </c>
    </row>
    <row r="18" spans="1:4">
      <c r="A18" s="10">
        <v>419.5</v>
      </c>
      <c r="B18" s="10">
        <v>96</v>
      </c>
      <c r="C18" s="10">
        <f>(B18-B8)/B8</f>
        <v>0.391304347826087</v>
      </c>
      <c r="D18" s="10">
        <f>(A18*9.8/1000)/(C4)</f>
        <v>105412.820512821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256360.2587099</v>
      </c>
    </row>
    <row r="22" spans="2:3">
      <c r="B22">
        <f>STEYX(D8:D18,C8:C18)</f>
        <v>5303.38726938579</v>
      </c>
      <c r="C22">
        <v>260000</v>
      </c>
    </row>
    <row r="23" spans="2:3">
      <c r="B23">
        <f>1.96*B22</f>
        <v>10394.6390479961</v>
      </c>
      <c r="C23">
        <v>10000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D23"/>
  <sheetViews>
    <sheetView workbookViewId="0">
      <selection activeCell="C32" sqref="C3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21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2</v>
      </c>
      <c r="C4" s="10">
        <f>(B3/1000)*(B4/1000)</f>
        <v>2.6e-5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9">
        <v>0</v>
      </c>
      <c r="B8" s="29">
        <v>67.5</v>
      </c>
      <c r="C8" s="10">
        <v>0</v>
      </c>
      <c r="D8" s="10">
        <v>0</v>
      </c>
    </row>
    <row r="9" spans="1:4">
      <c r="A9" s="30">
        <v>4.9</v>
      </c>
      <c r="B9" s="30">
        <v>67.5</v>
      </c>
      <c r="C9" s="10">
        <f>(B9-B8)/B8</f>
        <v>0</v>
      </c>
      <c r="D9" s="10">
        <f>(A9*9.8/1000)/(C4)</f>
        <v>1846.92307692308</v>
      </c>
    </row>
    <row r="10" spans="1:4">
      <c r="A10" s="30">
        <v>54.9</v>
      </c>
      <c r="B10" s="30">
        <v>69.5</v>
      </c>
      <c r="C10" s="10">
        <f>(B10-B8)/B8</f>
        <v>0.0296296296296296</v>
      </c>
      <c r="D10" s="10">
        <f>(A10*9.8/1000)/(C4)</f>
        <v>20693.0769230769</v>
      </c>
    </row>
    <row r="11" spans="1:4">
      <c r="A11" s="30">
        <v>104.9</v>
      </c>
      <c r="B11" s="30">
        <v>70.1</v>
      </c>
      <c r="C11" s="10">
        <f>(B11-B8)/B8</f>
        <v>0.0385185185185184</v>
      </c>
      <c r="D11" s="10">
        <f>(A11*9.8/1000)/(C4)</f>
        <v>39539.2307692308</v>
      </c>
    </row>
    <row r="12" spans="1:4">
      <c r="A12" s="30">
        <v>154.9</v>
      </c>
      <c r="B12" s="30">
        <v>71</v>
      </c>
      <c r="C12" s="10">
        <f>(B12-B8)/B8</f>
        <v>0.0518518518518519</v>
      </c>
      <c r="D12" s="10">
        <f>(A12*9.8/1000)/(C4)</f>
        <v>58385.3846153846</v>
      </c>
    </row>
    <row r="13" spans="1:4">
      <c r="A13" s="30">
        <v>204.9</v>
      </c>
      <c r="B13" s="30">
        <v>71.5</v>
      </c>
      <c r="C13" s="10">
        <f>(B13-B8)/B8</f>
        <v>0.0592592592592593</v>
      </c>
      <c r="D13" s="10">
        <f>(A13*9.8/1000)/(C4)</f>
        <v>77231.5384615385</v>
      </c>
    </row>
    <row r="14" spans="1:4">
      <c r="A14" s="30">
        <v>254.9</v>
      </c>
      <c r="B14" s="30">
        <v>72.5</v>
      </c>
      <c r="C14" s="10">
        <f>(B14-B8)/B8</f>
        <v>0.0740740740740741</v>
      </c>
      <c r="D14" s="10">
        <f>(A14*9.8/1000)/(C4)</f>
        <v>96077.6923076923</v>
      </c>
    </row>
    <row r="15" spans="1:4">
      <c r="A15" s="30">
        <v>354.9</v>
      </c>
      <c r="B15" s="30">
        <v>74</v>
      </c>
      <c r="C15" s="10">
        <f>(B15-B8)/B8</f>
        <v>0.0962962962962963</v>
      </c>
      <c r="D15" s="10">
        <f>(A15*9.8/1000)/(C4)</f>
        <v>133770</v>
      </c>
    </row>
    <row r="16" spans="1:4">
      <c r="A16" s="30">
        <v>454.9</v>
      </c>
      <c r="B16" s="30">
        <v>77</v>
      </c>
      <c r="C16" s="10">
        <f>(B16-B8)/B8</f>
        <v>0.140740740740741</v>
      </c>
      <c r="D16" s="10">
        <f>(A16*9.8/1000)/(C4)</f>
        <v>171462.307692308</v>
      </c>
    </row>
    <row r="17" spans="1:4">
      <c r="A17" s="30">
        <v>554.9</v>
      </c>
      <c r="B17" s="30">
        <v>78.5</v>
      </c>
      <c r="C17" s="10">
        <f>(B17-B8)/B8</f>
        <v>0.162962962962963</v>
      </c>
      <c r="D17" s="10">
        <f>(A17*9.8/1000)/(C4)</f>
        <v>209154.615384615</v>
      </c>
    </row>
    <row r="18" spans="1:4">
      <c r="A18" s="30">
        <v>654.9</v>
      </c>
      <c r="B18" s="30">
        <v>80</v>
      </c>
      <c r="C18" s="10">
        <f>(B18-B8)/B8</f>
        <v>0.185185185185185</v>
      </c>
      <c r="D18" s="10">
        <f>(A18*9.8/1000)/(C4)</f>
        <v>246846.923076923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1329104.48117726</v>
      </c>
    </row>
    <row r="22" spans="2:3">
      <c r="B22">
        <f>STEYX(D8:D18,C8:C18)</f>
        <v>8289.3958112212</v>
      </c>
      <c r="C22">
        <v>1330000</v>
      </c>
    </row>
    <row r="23" spans="2:3">
      <c r="B23">
        <f>1.96*B22</f>
        <v>16247.2157899936</v>
      </c>
      <c r="C23">
        <v>20000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D21"/>
  <sheetViews>
    <sheetView workbookViewId="0">
      <selection activeCell="C20" sqref="C20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4">
      <c r="A1" s="47" t="s">
        <v>0</v>
      </c>
      <c r="B1" s="48" t="s">
        <v>22</v>
      </c>
      <c r="C1" s="49"/>
      <c r="D1" s="49"/>
    </row>
    <row r="2" ht="14.4" spans="1:4">
      <c r="A2" s="50" t="s">
        <v>2</v>
      </c>
      <c r="B2" s="51"/>
      <c r="C2" s="49"/>
      <c r="D2" s="49"/>
    </row>
    <row r="3" spans="1:4">
      <c r="A3" s="52" t="s">
        <v>3</v>
      </c>
      <c r="B3" s="53">
        <v>13</v>
      </c>
      <c r="C3" s="54" t="s">
        <v>4</v>
      </c>
      <c r="D3" s="49"/>
    </row>
    <row r="4" spans="1:4">
      <c r="A4" s="55" t="s">
        <v>5</v>
      </c>
      <c r="B4" s="56">
        <v>3</v>
      </c>
      <c r="C4" s="49">
        <f>(B3/1000)*(B4/1000)</f>
        <v>3.9e-5</v>
      </c>
      <c r="D4" s="49"/>
    </row>
    <row r="5" spans="1:4">
      <c r="A5" s="57"/>
      <c r="B5" s="57"/>
      <c r="C5" s="49"/>
      <c r="D5" s="49"/>
    </row>
    <row r="6" spans="1:4">
      <c r="A6" s="58" t="s">
        <v>6</v>
      </c>
      <c r="B6" s="58" t="s">
        <v>7</v>
      </c>
      <c r="C6" s="49"/>
      <c r="D6" s="49"/>
    </row>
    <row r="7" spans="1:4">
      <c r="A7" s="59" t="s">
        <v>8</v>
      </c>
      <c r="B7" s="60" t="s">
        <v>9</v>
      </c>
      <c r="C7" s="61" t="s">
        <v>10</v>
      </c>
      <c r="D7" s="61" t="s">
        <v>11</v>
      </c>
    </row>
    <row r="8" spans="1:4">
      <c r="A8" s="62">
        <v>0</v>
      </c>
      <c r="B8" s="62">
        <v>70</v>
      </c>
      <c r="C8" s="63">
        <v>0</v>
      </c>
      <c r="D8" s="63">
        <v>0</v>
      </c>
    </row>
    <row r="9" spans="1:4">
      <c r="A9" s="63">
        <v>100</v>
      </c>
      <c r="B9" s="63">
        <v>73</v>
      </c>
      <c r="C9" s="63">
        <f>(B9-B8)/B8</f>
        <v>0.0428571428571429</v>
      </c>
      <c r="D9" s="63">
        <f>(A9*9.8/1000)/(C4)</f>
        <v>25128.2051282051</v>
      </c>
    </row>
    <row r="10" spans="1:4">
      <c r="A10" s="63">
        <v>200</v>
      </c>
      <c r="B10" s="63">
        <v>73</v>
      </c>
      <c r="C10" s="63">
        <f>(B10-B8)/B8</f>
        <v>0.0428571428571429</v>
      </c>
      <c r="D10" s="63">
        <f>(A10*9.8/1000)/(C4)</f>
        <v>50256.4102564103</v>
      </c>
    </row>
    <row r="11" spans="1:4">
      <c r="A11" s="63">
        <v>300</v>
      </c>
      <c r="B11" s="63">
        <v>75</v>
      </c>
      <c r="C11" s="63">
        <f>(B11-B8)/B8</f>
        <v>0.0714285714285714</v>
      </c>
      <c r="D11" s="63">
        <f>(A11*9.8/1000)/(C4)</f>
        <v>75384.6153846154</v>
      </c>
    </row>
    <row r="12" spans="1:4">
      <c r="A12" s="63">
        <v>350</v>
      </c>
      <c r="B12" s="63">
        <v>75</v>
      </c>
      <c r="C12" s="63">
        <f>(B12-B8)/B8</f>
        <v>0.0714285714285714</v>
      </c>
      <c r="D12" s="63">
        <f>(A12*9.8/1000)/(C4)</f>
        <v>87948.717948718</v>
      </c>
    </row>
    <row r="13" spans="1:4">
      <c r="A13" s="63">
        <v>400</v>
      </c>
      <c r="B13" s="63">
        <v>76</v>
      </c>
      <c r="C13" s="63">
        <f>(B13-B8)/B8</f>
        <v>0.0857142857142857</v>
      </c>
      <c r="D13" s="63">
        <f>(A13*9.8/1000)/(C4)</f>
        <v>100512.820512821</v>
      </c>
    </row>
    <row r="14" spans="1:4">
      <c r="A14" s="63">
        <v>450</v>
      </c>
      <c r="B14" s="63">
        <v>76</v>
      </c>
      <c r="C14" s="63">
        <f>(B14-B8)/B8</f>
        <v>0.0857142857142857</v>
      </c>
      <c r="D14" s="63">
        <f>(A14*9.8/1000)/(C4)</f>
        <v>113076.923076923</v>
      </c>
    </row>
    <row r="15" spans="1:4">
      <c r="A15" s="63">
        <v>500</v>
      </c>
      <c r="B15" s="63">
        <v>77</v>
      </c>
      <c r="C15" s="63">
        <f>(B15-B8)/B8</f>
        <v>0.1</v>
      </c>
      <c r="D15" s="63">
        <f>(A15*9.8/1000)/(C4)</f>
        <v>125641.025641026</v>
      </c>
    </row>
    <row r="16" spans="1:4">
      <c r="A16" s="63">
        <v>550</v>
      </c>
      <c r="B16" s="64">
        <v>78</v>
      </c>
      <c r="C16" s="64">
        <f>(B16-B8)/B8</f>
        <v>0.114285714285714</v>
      </c>
      <c r="D16" s="64">
        <f>(A16*9.8/1000)/(C4)</f>
        <v>138205.128205128</v>
      </c>
    </row>
    <row r="17" spans="1:4">
      <c r="A17" s="49"/>
      <c r="B17" s="49"/>
      <c r="C17" s="49"/>
      <c r="D17" s="49"/>
    </row>
    <row r="18" spans="1:4">
      <c r="A18" s="61" t="s">
        <v>12</v>
      </c>
      <c r="B18" s="63" t="s">
        <v>13</v>
      </c>
      <c r="C18" s="61" t="s">
        <v>14</v>
      </c>
      <c r="D18" s="49"/>
    </row>
    <row r="19" spans="1:4">
      <c r="A19" s="61" t="s">
        <v>15</v>
      </c>
      <c r="B19" s="63" t="s">
        <v>20</v>
      </c>
      <c r="C19" s="63">
        <f>SLOPE(D8:D16,C8:C16)</f>
        <v>1306901.50970525</v>
      </c>
      <c r="D19" s="49"/>
    </row>
    <row r="20" spans="1:4">
      <c r="A20" s="49"/>
      <c r="B20" s="49">
        <f>STEYX(D8:D16,C8:C16)</f>
        <v>10608.6761675449</v>
      </c>
      <c r="C20" s="49">
        <v>1310000</v>
      </c>
      <c r="D20" s="49"/>
    </row>
    <row r="21" spans="1:4">
      <c r="A21" s="49"/>
      <c r="B21" s="49">
        <f>1.96*B20</f>
        <v>20793.0052883881</v>
      </c>
      <c r="C21" s="49">
        <v>20000</v>
      </c>
      <c r="D21" s="49"/>
    </row>
  </sheetData>
  <pageMargins left="0.7" right="0.7" top="0.75" bottom="0.75" header="0.3" footer="0.3"/>
  <pageSetup paperSize="1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23"/>
  <sheetViews>
    <sheetView workbookViewId="0">
      <selection activeCell="C23" sqref="C23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23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70</v>
      </c>
      <c r="C8" s="10">
        <v>0</v>
      </c>
      <c r="D8" s="10">
        <v>0</v>
      </c>
    </row>
    <row r="9" spans="1:4">
      <c r="A9" s="10">
        <v>15.3</v>
      </c>
      <c r="B9" s="10">
        <v>70</v>
      </c>
      <c r="C9" s="10">
        <f>(B9-B8)/B8</f>
        <v>0</v>
      </c>
      <c r="D9" s="10">
        <f>(A9*9.8/1000)/(C4)</f>
        <v>3844.61538461539</v>
      </c>
    </row>
    <row r="10" spans="1:4">
      <c r="A10" s="10">
        <v>165.3</v>
      </c>
      <c r="B10" s="10">
        <v>71.5</v>
      </c>
      <c r="C10" s="10">
        <f>(B10-B8)/B8</f>
        <v>0.0214285714285714</v>
      </c>
      <c r="D10" s="10">
        <f>(A10*9.8/1000)/(C4)</f>
        <v>41536.9230769231</v>
      </c>
    </row>
    <row r="11" spans="1:4">
      <c r="A11" s="10">
        <v>315.3</v>
      </c>
      <c r="B11" s="10">
        <v>73</v>
      </c>
      <c r="C11" s="10">
        <f>(B11-B8)/B8</f>
        <v>0.0428571428571429</v>
      </c>
      <c r="D11" s="10">
        <f>(A11*9.8/1000)/(C4)</f>
        <v>79229.2307692308</v>
      </c>
    </row>
    <row r="12" spans="1:4">
      <c r="A12" s="10">
        <v>465.3</v>
      </c>
      <c r="B12" s="10">
        <v>74.5</v>
      </c>
      <c r="C12" s="10">
        <f>(B12-B8)/B8</f>
        <v>0.0642857142857143</v>
      </c>
      <c r="D12" s="10">
        <f>(A12*9.8/1000)/(C4)</f>
        <v>116921.538461538</v>
      </c>
    </row>
    <row r="13" spans="1:4">
      <c r="A13" s="10">
        <v>615.3</v>
      </c>
      <c r="B13" s="10">
        <v>76.5</v>
      </c>
      <c r="C13" s="10">
        <f>(B13-B8)/B8</f>
        <v>0.0928571428571429</v>
      </c>
      <c r="D13" s="10">
        <f>(A13*9.8/1000)/(C4)</f>
        <v>154613.846153846</v>
      </c>
    </row>
    <row r="14" spans="1:4">
      <c r="A14" s="10">
        <v>765.3</v>
      </c>
      <c r="B14" s="10">
        <v>79.5</v>
      </c>
      <c r="C14" s="10">
        <f>(B14-B8)/B8</f>
        <v>0.135714285714286</v>
      </c>
      <c r="D14" s="10">
        <f>(A14*9.8/1000)/(C4)</f>
        <v>192306.153846154</v>
      </c>
    </row>
    <row r="15" spans="1:4">
      <c r="A15" s="10">
        <v>915.3</v>
      </c>
      <c r="B15" s="10">
        <v>81.5</v>
      </c>
      <c r="C15" s="10">
        <f>(B15-B8)/B8</f>
        <v>0.164285714285714</v>
      </c>
      <c r="D15" s="10">
        <f>(A15*9.8/1000)/(C4)</f>
        <v>229998.461538462</v>
      </c>
    </row>
    <row r="16" spans="1:4">
      <c r="A16" s="10">
        <v>1065.3</v>
      </c>
      <c r="B16" s="10">
        <v>84</v>
      </c>
      <c r="C16" s="10">
        <f>(B16-B8)/B8</f>
        <v>0.2</v>
      </c>
      <c r="D16" s="10">
        <f>(A16*9.8/1000)/(C4)</f>
        <v>267690.769230769</v>
      </c>
    </row>
    <row r="17" spans="1:4">
      <c r="A17" s="10">
        <v>1215.3</v>
      </c>
      <c r="B17" s="10">
        <v>85.5</v>
      </c>
      <c r="C17" s="10">
        <f>(B17-B8)/B8</f>
        <v>0.221428571428571</v>
      </c>
      <c r="D17" s="10">
        <f>(A17*9.8/1000)/(C4)</f>
        <v>305383.076923077</v>
      </c>
    </row>
    <row r="18" spans="1:4">
      <c r="A18" s="10">
        <v>1365.3</v>
      </c>
      <c r="B18" s="10">
        <v>87</v>
      </c>
      <c r="C18" s="10">
        <f>(B18-B8)/B8</f>
        <v>0.242857142857143</v>
      </c>
      <c r="D18" s="10">
        <f>(A18*9.8/1000)/(C4)</f>
        <v>343075.384615385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1333320.36625824</v>
      </c>
    </row>
    <row r="22" spans="2:3">
      <c r="B22">
        <f>STEYX(D8:D18,C8:C18)</f>
        <v>11408.1804043765</v>
      </c>
      <c r="C22">
        <v>1330000</v>
      </c>
    </row>
    <row r="23" spans="2:3">
      <c r="B23">
        <f>1.96*B22</f>
        <v>22360.033592578</v>
      </c>
      <c r="C23">
        <v>20000</v>
      </c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D23"/>
  <sheetViews>
    <sheetView workbookViewId="0">
      <selection activeCell="D22" sqref="D2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24</v>
      </c>
    </row>
    <row r="2" ht="14.4" spans="1:2">
      <c r="A2" s="3" t="s">
        <v>2</v>
      </c>
      <c r="B2" s="4"/>
    </row>
    <row r="3" spans="1:3">
      <c r="A3" s="5" t="s">
        <v>3</v>
      </c>
      <c r="B3" s="6">
        <v>13.5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4.05e-5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69</v>
      </c>
      <c r="C8" s="10">
        <v>0</v>
      </c>
      <c r="D8" s="10">
        <v>0</v>
      </c>
    </row>
    <row r="9" spans="1:4">
      <c r="A9" s="10">
        <v>21</v>
      </c>
      <c r="B9" s="10">
        <v>70</v>
      </c>
      <c r="C9" s="10">
        <f>(B9-B8)/B8</f>
        <v>0.0144927536231884</v>
      </c>
      <c r="D9" s="10">
        <f>(A9*9.8/1000)/(C4)</f>
        <v>5081.48148148148</v>
      </c>
    </row>
    <row r="10" spans="1:4">
      <c r="A10" s="10">
        <v>121</v>
      </c>
      <c r="B10" s="10">
        <v>71</v>
      </c>
      <c r="C10" s="10">
        <f>(B10-B8)/B8</f>
        <v>0.0289855072463768</v>
      </c>
      <c r="D10" s="10">
        <f>(A10*9.8/1000)/(C4)</f>
        <v>29279.012345679</v>
      </c>
    </row>
    <row r="11" spans="1:4">
      <c r="A11" s="10">
        <v>221</v>
      </c>
      <c r="B11" s="10">
        <v>73</v>
      </c>
      <c r="C11" s="10">
        <f>(B11-B8)/B8</f>
        <v>0.0579710144927536</v>
      </c>
      <c r="D11" s="10">
        <f>(A11*9.8/1000)/(C4)</f>
        <v>53476.5432098766</v>
      </c>
    </row>
    <row r="12" spans="1:4">
      <c r="A12" s="10">
        <v>321</v>
      </c>
      <c r="B12" s="10">
        <v>74</v>
      </c>
      <c r="C12" s="10">
        <f>(B12-B8)/B8</f>
        <v>0.072463768115942</v>
      </c>
      <c r="D12" s="10">
        <f>(A12*9.8/1000)/(C4)</f>
        <v>77674.0740740741</v>
      </c>
    </row>
    <row r="13" spans="1:4">
      <c r="A13" s="10">
        <v>421</v>
      </c>
      <c r="B13" s="10">
        <v>75</v>
      </c>
      <c r="C13" s="10">
        <f>(B13-B8)/B8</f>
        <v>0.0869565217391304</v>
      </c>
      <c r="D13" s="10">
        <f>(A13*9.8/1000)/(C4)</f>
        <v>101871.604938272</v>
      </c>
    </row>
    <row r="14" spans="1:4">
      <c r="A14" s="10">
        <v>471</v>
      </c>
      <c r="B14" s="10">
        <v>75.5</v>
      </c>
      <c r="C14" s="10">
        <f>(B14-B8)/B8</f>
        <v>0.0942028985507246</v>
      </c>
      <c r="D14" s="10">
        <f>(A14*9.8/1000)/(C4)</f>
        <v>113970.37037037</v>
      </c>
    </row>
    <row r="15" spans="1:4">
      <c r="A15" s="10">
        <v>521</v>
      </c>
      <c r="B15" s="10">
        <v>76</v>
      </c>
      <c r="C15" s="10">
        <f>(B15-B8)/B8</f>
        <v>0.101449275362319</v>
      </c>
      <c r="D15" s="10">
        <f>(A15*9.8/1000)/(C4)</f>
        <v>126069.135802469</v>
      </c>
    </row>
    <row r="16" spans="1:4">
      <c r="A16" s="10">
        <v>571</v>
      </c>
      <c r="B16" s="10">
        <v>76.5</v>
      </c>
      <c r="C16" s="10">
        <f>(B16-B8)/B8</f>
        <v>0.108695652173913</v>
      </c>
      <c r="D16" s="10">
        <f>(A16*9.8/1000)/(C4)</f>
        <v>138167.901234568</v>
      </c>
    </row>
    <row r="17" spans="1:4">
      <c r="A17" s="20">
        <v>621</v>
      </c>
      <c r="B17" s="20">
        <v>76.5</v>
      </c>
      <c r="C17" s="20">
        <f>(B17-B8)/B8</f>
        <v>0.108695652173913</v>
      </c>
      <c r="D17" s="20">
        <f>(A17*9.8/1000)/(C4)</f>
        <v>150266.666666667</v>
      </c>
    </row>
    <row r="18" spans="1:4">
      <c r="A18" s="10">
        <v>821</v>
      </c>
      <c r="B18" s="10">
        <v>80</v>
      </c>
      <c r="C18" s="10">
        <f>(B18-B8)/B8</f>
        <v>0.159420289855072</v>
      </c>
      <c r="D18" s="10">
        <f>(A18*9.8/1000)/(C4)</f>
        <v>198661.728395062</v>
      </c>
    </row>
    <row r="20" spans="1:3">
      <c r="A20" s="7" t="s">
        <v>12</v>
      </c>
      <c r="B20" s="10" t="s">
        <v>25</v>
      </c>
      <c r="C20" s="7" t="s">
        <v>14</v>
      </c>
    </row>
    <row r="21" spans="1:3">
      <c r="A21" s="7" t="s">
        <v>15</v>
      </c>
      <c r="B21" s="10" t="s">
        <v>26</v>
      </c>
      <c r="C21" s="10">
        <f>SLOPE(D8:D18,C8:C18)</f>
        <v>1332380.16869609</v>
      </c>
    </row>
    <row r="22" spans="2:3">
      <c r="B22">
        <f>STEYX(D8:D18,C8:C18)</f>
        <v>8603.84711345239</v>
      </c>
      <c r="C22">
        <v>1330000</v>
      </c>
    </row>
    <row r="23" spans="2:3">
      <c r="B23">
        <f>1.96*B22</f>
        <v>16863.5403423667</v>
      </c>
      <c r="C23">
        <v>20000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D23"/>
  <sheetViews>
    <sheetView workbookViewId="0">
      <selection activeCell="E24" sqref="E24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4">
      <c r="A1" s="34" t="s">
        <v>0</v>
      </c>
      <c r="B1" s="28" t="s">
        <v>27</v>
      </c>
      <c r="C1" s="35"/>
      <c r="D1" s="35"/>
    </row>
    <row r="2" ht="14.4" spans="1:4">
      <c r="A2" s="36" t="s">
        <v>2</v>
      </c>
      <c r="B2" s="37"/>
      <c r="C2" s="35"/>
      <c r="D2" s="35"/>
    </row>
    <row r="3" spans="1:4">
      <c r="A3" s="38" t="s">
        <v>3</v>
      </c>
      <c r="B3" s="39">
        <v>13</v>
      </c>
      <c r="C3" s="40" t="s">
        <v>4</v>
      </c>
      <c r="D3" s="35"/>
    </row>
    <row r="4" spans="1:4">
      <c r="A4" s="41" t="s">
        <v>5</v>
      </c>
      <c r="B4" s="42">
        <v>2.8</v>
      </c>
      <c r="C4" s="20">
        <f>(B3/1000)*(B4/1000)</f>
        <v>3.64e-5</v>
      </c>
      <c r="D4" s="35"/>
    </row>
    <row r="5" spans="1:4">
      <c r="A5" s="43"/>
      <c r="B5" s="43"/>
      <c r="C5" s="35"/>
      <c r="D5" s="35"/>
    </row>
    <row r="6" spans="1:4">
      <c r="A6" s="44" t="s">
        <v>6</v>
      </c>
      <c r="B6" s="44" t="s">
        <v>7</v>
      </c>
      <c r="C6" s="35"/>
      <c r="D6" s="35"/>
    </row>
    <row r="7" spans="1:4">
      <c r="A7" s="45" t="s">
        <v>8</v>
      </c>
      <c r="B7" s="46" t="s">
        <v>9</v>
      </c>
      <c r="C7" s="40" t="s">
        <v>10</v>
      </c>
      <c r="D7" s="40" t="s">
        <v>11</v>
      </c>
    </row>
    <row r="8" spans="1:4">
      <c r="A8" s="33">
        <v>0</v>
      </c>
      <c r="B8" s="33">
        <v>68.5</v>
      </c>
      <c r="C8" s="20">
        <v>0</v>
      </c>
      <c r="D8" s="20">
        <v>0</v>
      </c>
    </row>
    <row r="9" spans="1:4">
      <c r="A9" s="20">
        <v>15.5</v>
      </c>
      <c r="B9" s="20">
        <v>69</v>
      </c>
      <c r="C9" s="20">
        <f>(B9-B8)/B8</f>
        <v>0.0072992700729927</v>
      </c>
      <c r="D9" s="20">
        <f>(A9*9.8/1000)/(C4)</f>
        <v>4173.07692307692</v>
      </c>
    </row>
    <row r="10" spans="1:4">
      <c r="A10" s="20">
        <v>65.5</v>
      </c>
      <c r="B10" s="20">
        <v>70.5</v>
      </c>
      <c r="C10" s="20">
        <f>(B10-B8)/B8</f>
        <v>0.0291970802919708</v>
      </c>
      <c r="D10" s="20">
        <f>(A10*9.8/1000)/(C4)</f>
        <v>17634.6153846154</v>
      </c>
    </row>
    <row r="11" spans="1:4">
      <c r="A11" s="20">
        <v>115.5</v>
      </c>
      <c r="B11" s="20">
        <v>71.1</v>
      </c>
      <c r="C11" s="20">
        <f>(B11-B8)/B8</f>
        <v>0.037956204379562</v>
      </c>
      <c r="D11" s="20">
        <f>(A11*9.8/1000)/(C4)</f>
        <v>31096.1538461539</v>
      </c>
    </row>
    <row r="12" spans="1:4">
      <c r="A12" s="20">
        <v>165.5</v>
      </c>
      <c r="B12" s="20">
        <v>71.5</v>
      </c>
      <c r="C12" s="20">
        <f>(B12-B8)/B8</f>
        <v>0.0437956204379562</v>
      </c>
      <c r="D12" s="20">
        <f>(A12*9.8/1000)/(C4)</f>
        <v>44557.6923076923</v>
      </c>
    </row>
    <row r="13" spans="1:4">
      <c r="A13" s="20">
        <v>265.5</v>
      </c>
      <c r="B13" s="20">
        <v>72.8</v>
      </c>
      <c r="C13" s="20">
        <f>(B13-B8)/B8</f>
        <v>0.0627737226277372</v>
      </c>
      <c r="D13" s="20">
        <f>(A13*9.8/1000)/(C4)</f>
        <v>71480.7692307692</v>
      </c>
    </row>
    <row r="14" spans="1:4">
      <c r="A14" s="20">
        <v>315.5</v>
      </c>
      <c r="B14" s="20">
        <v>73.5</v>
      </c>
      <c r="C14" s="20">
        <f>(B14-B8)/B8</f>
        <v>0.072992700729927</v>
      </c>
      <c r="D14" s="20">
        <f>(A14*9.8/1000)/(C4)</f>
        <v>84942.3076923077</v>
      </c>
    </row>
    <row r="15" spans="1:4">
      <c r="A15" s="20">
        <v>365.5</v>
      </c>
      <c r="B15" s="20">
        <v>74.1</v>
      </c>
      <c r="C15" s="20">
        <f>(B15-B8)/B8</f>
        <v>0.0817518248175182</v>
      </c>
      <c r="D15" s="20">
        <f>(A15*9.8/1000)/(C4)</f>
        <v>98403.8461538462</v>
      </c>
    </row>
    <row r="16" spans="1:4">
      <c r="A16" s="20">
        <v>415.5</v>
      </c>
      <c r="B16" s="20">
        <v>74.9</v>
      </c>
      <c r="C16" s="20">
        <f>(B16-B8)/B8</f>
        <v>0.0934306569343066</v>
      </c>
      <c r="D16" s="20">
        <f>(A16*9.8/1000)/(C4)</f>
        <v>111865.384615385</v>
      </c>
    </row>
    <row r="17" spans="1:4">
      <c r="A17" s="20">
        <v>515.5</v>
      </c>
      <c r="B17" s="20">
        <v>76.1</v>
      </c>
      <c r="C17" s="20">
        <f>(B17-B8)/B8</f>
        <v>0.110948905109489</v>
      </c>
      <c r="D17" s="20">
        <f>(A17*9.8/1000)/(C4)</f>
        <v>138788.461538462</v>
      </c>
    </row>
    <row r="18" spans="1:4">
      <c r="A18" s="20">
        <v>565.5</v>
      </c>
      <c r="B18" s="20">
        <v>76.9</v>
      </c>
      <c r="C18" s="20">
        <f>(B18-B8)/B8</f>
        <v>0.122627737226277</v>
      </c>
      <c r="D18" s="20">
        <f>(A18*9.8/1000)/(C4)</f>
        <v>152250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1309790.87295731</v>
      </c>
    </row>
    <row r="22" spans="2:3">
      <c r="B22">
        <f>STEYX(D8:D18,C8:C18)</f>
        <v>6081.67063775128</v>
      </c>
      <c r="C22">
        <v>1310000</v>
      </c>
    </row>
    <row r="23" spans="2:3">
      <c r="B23">
        <f>1.96*B22</f>
        <v>11920.0744499925</v>
      </c>
      <c r="C23">
        <v>10000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D23"/>
  <sheetViews>
    <sheetView tabSelected="1" workbookViewId="0">
      <selection activeCell="C22" sqref="C2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28</v>
      </c>
    </row>
    <row r="2" ht="14.4" spans="1:2">
      <c r="A2" s="3" t="s">
        <v>2</v>
      </c>
      <c r="B2" s="4"/>
    </row>
    <row r="3" spans="1:3">
      <c r="A3" s="5" t="s">
        <v>3</v>
      </c>
      <c r="B3" s="6">
        <v>12.5</v>
      </c>
      <c r="C3" s="7" t="s">
        <v>4</v>
      </c>
    </row>
    <row r="4" spans="1:3">
      <c r="A4" s="8" t="s">
        <v>5</v>
      </c>
      <c r="B4" s="9">
        <v>1.5</v>
      </c>
      <c r="C4" s="10">
        <f>(B3/1000)*(B4/1000)</f>
        <v>1.875e-5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66.3</v>
      </c>
      <c r="C8" s="10">
        <v>0</v>
      </c>
      <c r="D8" s="10">
        <v>0</v>
      </c>
    </row>
    <row r="9" spans="1:4">
      <c r="A9" s="10">
        <v>15.9</v>
      </c>
      <c r="B9" s="10">
        <v>68</v>
      </c>
      <c r="C9" s="10">
        <f>(B9-B8)/B8</f>
        <v>0.0256410256410257</v>
      </c>
      <c r="D9" s="10">
        <f>(A9*9.8/1000)/(C4)</f>
        <v>8310.4</v>
      </c>
    </row>
    <row r="10" spans="1:4">
      <c r="A10" s="10">
        <v>116.2</v>
      </c>
      <c r="B10" s="10">
        <v>69.5</v>
      </c>
      <c r="C10" s="10">
        <f>(B10-B8)/B8</f>
        <v>0.048265460030166</v>
      </c>
      <c r="D10" s="10">
        <f>(A10*9.8/1000)/(C4)</f>
        <v>60733.8666666667</v>
      </c>
    </row>
    <row r="11" spans="1:4">
      <c r="A11" s="10">
        <v>216.5</v>
      </c>
      <c r="B11" s="10">
        <v>71.8</v>
      </c>
      <c r="C11" s="10">
        <f>(B11-B8)/B8</f>
        <v>0.0829562594268477</v>
      </c>
      <c r="D11" s="10">
        <f>(A11*9.8/1000)/(C4)</f>
        <v>113157.333333333</v>
      </c>
    </row>
    <row r="12" spans="1:4">
      <c r="A12" s="20">
        <v>316.5</v>
      </c>
      <c r="B12" s="20">
        <v>74</v>
      </c>
      <c r="C12" s="20">
        <f>(B12-B8)/B8</f>
        <v>0.116138763197587</v>
      </c>
      <c r="D12" s="20">
        <f>(A12*9.8/1000)/(C4)</f>
        <v>165424</v>
      </c>
    </row>
    <row r="13" spans="1:4">
      <c r="A13" s="20">
        <v>326.5</v>
      </c>
      <c r="B13" s="20">
        <v>74</v>
      </c>
      <c r="C13" s="20">
        <f>(B13-B8)/B8</f>
        <v>0.116138763197587</v>
      </c>
      <c r="D13" s="20">
        <f>(A13*9.8/1000)/(C4)</f>
        <v>170650.666666667</v>
      </c>
    </row>
    <row r="14" spans="1:4">
      <c r="A14" s="20">
        <v>341.8</v>
      </c>
      <c r="B14" s="20">
        <v>74.9</v>
      </c>
      <c r="C14" s="20">
        <f>(B14-B8)/B8</f>
        <v>0.129713423831071</v>
      </c>
      <c r="D14" s="20">
        <f>(A14*9.8/1000)/(C4)</f>
        <v>178647.466666667</v>
      </c>
    </row>
    <row r="15" spans="1:4">
      <c r="A15" s="20">
        <v>346.7</v>
      </c>
      <c r="B15" s="20">
        <v>75</v>
      </c>
      <c r="C15" s="20">
        <f>(B15-B8)/B8</f>
        <v>0.131221719457014</v>
      </c>
      <c r="D15" s="20">
        <f>(A15*9.8/1000)/(C4)</f>
        <v>181208.533333333</v>
      </c>
    </row>
    <row r="16" spans="1:4">
      <c r="A16" s="10">
        <v>351.7</v>
      </c>
      <c r="B16" s="10">
        <v>75.5</v>
      </c>
      <c r="C16" s="10">
        <f>(B16-B8)/B8</f>
        <v>0.138763197586727</v>
      </c>
      <c r="D16" s="10">
        <f>(A16*9.8/1000)/(C4)</f>
        <v>183821.866666667</v>
      </c>
    </row>
    <row r="17" spans="1:4">
      <c r="A17" s="10">
        <v>417</v>
      </c>
      <c r="B17" s="10">
        <v>77</v>
      </c>
      <c r="C17" s="10">
        <f>(B17-B8)/B8</f>
        <v>0.161387631975867</v>
      </c>
      <c r="D17" s="10">
        <f>(A17*9.8/1000)/(C4)</f>
        <v>217952</v>
      </c>
    </row>
    <row r="18" spans="1:4">
      <c r="A18" s="10">
        <v>441.9</v>
      </c>
      <c r="B18" s="10">
        <v>78</v>
      </c>
      <c r="C18" s="10">
        <f>(B18-B8)/B8</f>
        <v>0.176470588235294</v>
      </c>
      <c r="D18" s="10">
        <f>(A18*9.8/1000)/(C4)</f>
        <v>230966.4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1415694.95601617</v>
      </c>
    </row>
    <row r="22" spans="2:3">
      <c r="B22">
        <f>STEYX(D8:D18,C8:C18)</f>
        <v>10146.677843312</v>
      </c>
      <c r="C22">
        <v>1420000</v>
      </c>
    </row>
    <row r="23" spans="2:3">
      <c r="B23">
        <f>1.96*B22</f>
        <v>19887.4885728915</v>
      </c>
      <c r="C23">
        <v>20000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D23"/>
  <sheetViews>
    <sheetView workbookViewId="0">
      <selection activeCell="C22" sqref="C2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29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2.5</v>
      </c>
      <c r="C4" s="10">
        <f>(B3/1000)*(B4/1000)</f>
        <v>3.25e-5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73.5</v>
      </c>
      <c r="C8" s="10">
        <v>0</v>
      </c>
      <c r="D8" s="10">
        <v>0</v>
      </c>
    </row>
    <row r="9" spans="1:4">
      <c r="A9" s="10">
        <v>20.9</v>
      </c>
      <c r="B9" s="10">
        <v>74</v>
      </c>
      <c r="C9" s="10">
        <f>(B9-B8)/B8</f>
        <v>0.00680272108843537</v>
      </c>
      <c r="D9" s="10">
        <f>(A9*9.8/1000)/(C4)</f>
        <v>6302.15384615385</v>
      </c>
    </row>
    <row r="10" spans="1:4">
      <c r="A10" s="10">
        <v>120.9</v>
      </c>
      <c r="B10" s="10">
        <v>74.5</v>
      </c>
      <c r="C10" s="10">
        <f>(B10-B8)/B8</f>
        <v>0.0136054421768707</v>
      </c>
      <c r="D10" s="10">
        <f>(A10*9.8/1000)/(C4)</f>
        <v>36456</v>
      </c>
    </row>
    <row r="11" spans="1:4">
      <c r="A11" s="10">
        <v>220.9</v>
      </c>
      <c r="B11" s="10">
        <v>75.5</v>
      </c>
      <c r="C11" s="10">
        <f>(B11-B8)/B8</f>
        <v>0.0272108843537415</v>
      </c>
      <c r="D11" s="10">
        <f>(A11*9.8/1000)/(C4)</f>
        <v>66609.8461538462</v>
      </c>
    </row>
    <row r="12" spans="1:4">
      <c r="A12" s="10">
        <v>320.9</v>
      </c>
      <c r="B12" s="10">
        <v>76.5</v>
      </c>
      <c r="C12" s="10">
        <f>(B12-B8)/B8</f>
        <v>0.0408163265306122</v>
      </c>
      <c r="D12" s="10">
        <f>(A12*9.8/1000)/(C4)</f>
        <v>96763.6923076923</v>
      </c>
    </row>
    <row r="13" spans="1:4">
      <c r="A13" s="10">
        <v>520.9</v>
      </c>
      <c r="B13" s="10">
        <v>80.5</v>
      </c>
      <c r="C13" s="10">
        <f>(B13-B8)/B8</f>
        <v>0.0952380952380952</v>
      </c>
      <c r="D13" s="10">
        <f>(A13*9.8/1000)/(C4)</f>
        <v>157071.384615385</v>
      </c>
    </row>
    <row r="14" spans="1:4">
      <c r="A14" s="10">
        <v>720.9</v>
      </c>
      <c r="B14" s="10">
        <v>84</v>
      </c>
      <c r="C14" s="10">
        <f>(B14-B8)/B8</f>
        <v>0.142857142857143</v>
      </c>
      <c r="D14" s="10">
        <f>(A14*9.8/1000)/(C4)</f>
        <v>217379.076923077</v>
      </c>
    </row>
    <row r="15" spans="1:4">
      <c r="A15" s="10">
        <v>920.5</v>
      </c>
      <c r="B15" s="10">
        <v>87.5</v>
      </c>
      <c r="C15" s="10">
        <f>(B15-B8)/B8</f>
        <v>0.19047619047619</v>
      </c>
      <c r="D15" s="10">
        <f>(A15*9.8/1000)/(C4)</f>
        <v>277566.153846154</v>
      </c>
    </row>
    <row r="16" spans="1:4">
      <c r="A16" s="10">
        <v>1020.5</v>
      </c>
      <c r="B16" s="10">
        <v>90</v>
      </c>
      <c r="C16" s="10">
        <f>(B16-B8)/B8</f>
        <v>0.224489795918367</v>
      </c>
      <c r="D16" s="10">
        <f>(A16*9.8/1000)/(C4)</f>
        <v>307720</v>
      </c>
    </row>
    <row r="17" spans="1:4">
      <c r="A17" s="10">
        <v>1120.5</v>
      </c>
      <c r="B17" s="10">
        <v>91</v>
      </c>
      <c r="C17" s="10">
        <f>(B17-B8)/B8</f>
        <v>0.238095238095238</v>
      </c>
      <c r="D17" s="10">
        <f>(A17*9.8/1000)/(C4)</f>
        <v>337873.846153846</v>
      </c>
    </row>
    <row r="18" spans="1:4">
      <c r="A18" s="10">
        <v>1220.5</v>
      </c>
      <c r="B18" s="10">
        <v>93</v>
      </c>
      <c r="C18" s="10">
        <f>(B18-B8)/B8</f>
        <v>0.26530612244898</v>
      </c>
      <c r="D18" s="10">
        <f>(A18*9.8/1000)/(C4)</f>
        <v>368027.692307692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1338494.77389165</v>
      </c>
    </row>
    <row r="22" spans="2:3">
      <c r="B22">
        <f>STEYX(D8:D18,C8:C18)</f>
        <v>14329.5968964229</v>
      </c>
      <c r="C22">
        <v>1340000</v>
      </c>
    </row>
    <row r="23" spans="2:3">
      <c r="B23">
        <f>1.96*B22</f>
        <v>28086.0099169888</v>
      </c>
      <c r="C23">
        <v>30000</v>
      </c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D23"/>
  <sheetViews>
    <sheetView workbookViewId="0">
      <selection activeCell="C22" sqref="C2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30</v>
      </c>
    </row>
    <row r="2" ht="14.4" spans="1:2">
      <c r="A2" s="3" t="s">
        <v>2</v>
      </c>
      <c r="B2" s="4"/>
    </row>
    <row r="3" spans="1:3">
      <c r="A3" s="5" t="s">
        <v>3</v>
      </c>
      <c r="B3" s="6">
        <v>13.2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3.96e-5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70.8</v>
      </c>
      <c r="C8" s="10">
        <v>0</v>
      </c>
      <c r="D8" s="10">
        <v>0</v>
      </c>
    </row>
    <row r="9" spans="1:4">
      <c r="A9" s="10">
        <v>15.5</v>
      </c>
      <c r="B9" s="10">
        <v>71</v>
      </c>
      <c r="C9" s="10">
        <f>(B9-B8)/B8</f>
        <v>0.00282485875706219</v>
      </c>
      <c r="D9" s="10">
        <f>(A9*9.8/1000)/(C4)</f>
        <v>3835.85858585859</v>
      </c>
    </row>
    <row r="10" spans="1:4">
      <c r="A10" s="10">
        <v>115.5</v>
      </c>
      <c r="B10" s="10">
        <v>72.2</v>
      </c>
      <c r="C10" s="10">
        <f>(B10-B8)/B8</f>
        <v>0.0197740112994351</v>
      </c>
      <c r="D10" s="10">
        <f>(A10*9.8/1000)/(C4)</f>
        <v>28583.3333333333</v>
      </c>
    </row>
    <row r="11" spans="1:4">
      <c r="A11" s="10">
        <v>215.5</v>
      </c>
      <c r="B11" s="10">
        <v>73.1</v>
      </c>
      <c r="C11" s="10">
        <f>(B11-B8)/B8</f>
        <v>0.0324858757062147</v>
      </c>
      <c r="D11" s="10">
        <f>(A11*9.8/1000)/(C4)</f>
        <v>53330.8080808081</v>
      </c>
    </row>
    <row r="12" spans="1:4">
      <c r="A12" s="10">
        <v>265.5</v>
      </c>
      <c r="B12" s="10">
        <v>74.1</v>
      </c>
      <c r="C12" s="10">
        <f>(B12-B8)/B8</f>
        <v>0.0466101694915254</v>
      </c>
      <c r="D12" s="10">
        <f>(A12*9.8/1000)/(C4)</f>
        <v>65704.5454545455</v>
      </c>
    </row>
    <row r="13" spans="1:4">
      <c r="A13" s="10">
        <v>315.5</v>
      </c>
      <c r="B13" s="10">
        <v>74.6</v>
      </c>
      <c r="C13" s="10">
        <f>(B13-B8)/B8</f>
        <v>0.0536723163841808</v>
      </c>
      <c r="D13" s="10">
        <f>(A13*9.8/1000)/(C4)</f>
        <v>78078.2828282828</v>
      </c>
    </row>
    <row r="14" spans="1:4">
      <c r="A14" s="10">
        <v>365.5</v>
      </c>
      <c r="B14" s="10">
        <v>75.2</v>
      </c>
      <c r="C14" s="10">
        <f>(B14-B8)/B8</f>
        <v>0.0621468926553673</v>
      </c>
      <c r="D14" s="10">
        <f>(A14*9.8/1000)/(C4)</f>
        <v>90452.0202020202</v>
      </c>
    </row>
    <row r="15" spans="1:4">
      <c r="A15" s="10">
        <v>415.5</v>
      </c>
      <c r="B15" s="10">
        <v>75.5</v>
      </c>
      <c r="C15" s="10">
        <f>(B15-B8)/B8</f>
        <v>0.0663841807909605</v>
      </c>
      <c r="D15" s="10">
        <f>(A15*9.8/1000)/(C4)</f>
        <v>102825.757575758</v>
      </c>
    </row>
    <row r="16" spans="1:4">
      <c r="A16" s="10">
        <v>465.5</v>
      </c>
      <c r="B16" s="10">
        <v>75.9</v>
      </c>
      <c r="C16" s="10">
        <f>(B16-B8)/B8</f>
        <v>0.0720338983050849</v>
      </c>
      <c r="D16" s="10">
        <f>(A16*9.8/1000)/(C4)</f>
        <v>115199.494949495</v>
      </c>
    </row>
    <row r="17" spans="1:4">
      <c r="A17" s="10">
        <v>565.5</v>
      </c>
      <c r="B17" s="10">
        <v>77.1</v>
      </c>
      <c r="C17" s="10">
        <f>(B17-B8)/B8</f>
        <v>0.0889830508474576</v>
      </c>
      <c r="D17" s="10">
        <f>(A17*9.8/1000)/(C4)</f>
        <v>139946.96969697</v>
      </c>
    </row>
    <row r="18" spans="1:4">
      <c r="A18" s="10">
        <v>665.5</v>
      </c>
      <c r="B18" s="10">
        <v>80.4</v>
      </c>
      <c r="C18" s="10">
        <f>(B18-B8)/B8</f>
        <v>0.135593220338983</v>
      </c>
      <c r="D18" s="10">
        <f>(A18*9.8/1000)/(C4)</f>
        <v>164694.444444444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1319081.89959735</v>
      </c>
    </row>
    <row r="22" spans="2:3">
      <c r="B22">
        <f>STEYX(D8:D18,C8:C18)</f>
        <v>10909.4229432014</v>
      </c>
      <c r="C22">
        <v>1320000</v>
      </c>
    </row>
    <row r="23" spans="2:3">
      <c r="B23">
        <f>1.96*B22</f>
        <v>21382.4689686748</v>
      </c>
      <c r="C23">
        <v>20000</v>
      </c>
    </row>
  </sheetData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D22"/>
  <sheetViews>
    <sheetView workbookViewId="0">
      <selection activeCell="E32" sqref="E3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8" t="s">
        <v>31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33">
        <v>0</v>
      </c>
      <c r="B8" s="33">
        <v>77</v>
      </c>
      <c r="C8" s="20">
        <v>0</v>
      </c>
      <c r="D8" s="20">
        <v>0</v>
      </c>
    </row>
    <row r="9" spans="1:4">
      <c r="A9" s="10">
        <v>220.9</v>
      </c>
      <c r="B9" s="10">
        <v>78</v>
      </c>
      <c r="C9" s="10">
        <f>(B9-B8)/B8</f>
        <v>0.012987012987013</v>
      </c>
      <c r="D9" s="10">
        <f>(A9*9.8/1000)/(C4)</f>
        <v>55508.2051282051</v>
      </c>
    </row>
    <row r="10" spans="1:4">
      <c r="A10" s="10">
        <v>270.9</v>
      </c>
      <c r="B10" s="10">
        <v>80</v>
      </c>
      <c r="C10" s="10">
        <f>(B10-B8)/B8</f>
        <v>0.038961038961039</v>
      </c>
      <c r="D10" s="10">
        <f>(A10*9.8/1000)/(C4)</f>
        <v>68072.3076923077</v>
      </c>
    </row>
    <row r="11" spans="1:4">
      <c r="A11" s="10">
        <v>320.9</v>
      </c>
      <c r="B11" s="10">
        <v>81</v>
      </c>
      <c r="C11" s="10">
        <f>(B11-B8)/B8</f>
        <v>0.051948051948052</v>
      </c>
      <c r="D11" s="10">
        <f>(A11*9.8/1000)/(C4)</f>
        <v>80636.4102564103</v>
      </c>
    </row>
    <row r="12" spans="1:4">
      <c r="A12" s="10">
        <v>370.9</v>
      </c>
      <c r="B12" s="10">
        <v>82</v>
      </c>
      <c r="C12" s="10">
        <f>(B12-B8)/B8</f>
        <v>0.0649350649350649</v>
      </c>
      <c r="D12" s="10">
        <f>(A12*9.8/1000)/(C4)</f>
        <v>93200.5128205128</v>
      </c>
    </row>
    <row r="13" spans="1:4">
      <c r="A13" s="10">
        <v>420.9</v>
      </c>
      <c r="B13" s="10">
        <v>83.5</v>
      </c>
      <c r="C13" s="10">
        <f>(B13-B8)/B8</f>
        <v>0.0844155844155844</v>
      </c>
      <c r="D13" s="10">
        <f>(A13*9.8/1000)/(C4)</f>
        <v>105764.615384615</v>
      </c>
    </row>
    <row r="14" spans="1:4">
      <c r="A14" s="10">
        <v>470.9</v>
      </c>
      <c r="B14" s="10">
        <v>85</v>
      </c>
      <c r="C14" s="10">
        <f>(B14-B8)/B8</f>
        <v>0.103896103896104</v>
      </c>
      <c r="D14" s="10">
        <f>(A14*9.8/1000)/(C4)</f>
        <v>118328.717948718</v>
      </c>
    </row>
    <row r="15" spans="1:4">
      <c r="A15" s="10">
        <v>520.9</v>
      </c>
      <c r="B15" s="10">
        <v>86</v>
      </c>
      <c r="C15" s="10">
        <f>(B15-B8)/B8</f>
        <v>0.116883116883117</v>
      </c>
      <c r="D15" s="10">
        <f>(A15*9.8/1000)/(C4)</f>
        <v>130892.820512821</v>
      </c>
    </row>
    <row r="16" spans="1:4">
      <c r="A16" s="10">
        <v>570.9</v>
      </c>
      <c r="B16" s="10">
        <v>87</v>
      </c>
      <c r="C16" s="10">
        <f>(B16-B8)/B8</f>
        <v>0.12987012987013</v>
      </c>
      <c r="D16" s="10">
        <f>(A16*9.8/1000)/(C4)</f>
        <v>143456.923076923</v>
      </c>
    </row>
    <row r="17" spans="1:4">
      <c r="A17" s="10">
        <v>670.9</v>
      </c>
      <c r="B17" s="10">
        <v>91</v>
      </c>
      <c r="C17" s="10">
        <f>(B17-B8)/B8</f>
        <v>0.181818181818182</v>
      </c>
      <c r="D17" s="10">
        <f>(A17*9.8/1000)/(C4)</f>
        <v>168585.128205128</v>
      </c>
    </row>
    <row r="19" spans="1:3">
      <c r="A19" s="7" t="s">
        <v>12</v>
      </c>
      <c r="B19" s="10" t="s">
        <v>19</v>
      </c>
      <c r="C19" s="7" t="s">
        <v>14</v>
      </c>
    </row>
    <row r="20" spans="1:3">
      <c r="A20" s="7" t="s">
        <v>15</v>
      </c>
      <c r="B20" s="10" t="s">
        <v>16</v>
      </c>
      <c r="C20" s="10">
        <f>SLOPE(D8:D17,C8:C17)</f>
        <v>833176.095354587</v>
      </c>
    </row>
    <row r="21" spans="2:3">
      <c r="B21">
        <f>STEYX(D8:D17,C8:C17)</f>
        <v>13754.1799416212</v>
      </c>
      <c r="C21">
        <v>830000</v>
      </c>
    </row>
    <row r="22" spans="2:3">
      <c r="B22">
        <f>1.96*B21</f>
        <v>26958.1926855776</v>
      </c>
      <c r="C22">
        <v>30000</v>
      </c>
    </row>
  </sheetData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23"/>
  <sheetViews>
    <sheetView workbookViewId="0">
      <selection activeCell="D24" sqref="D24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8" t="s">
        <v>32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9">
        <v>0</v>
      </c>
      <c r="B8" s="29">
        <v>75</v>
      </c>
      <c r="C8" s="10">
        <v>0</v>
      </c>
      <c r="D8" s="10">
        <v>0</v>
      </c>
    </row>
    <row r="9" spans="1:4">
      <c r="A9" s="30">
        <v>4.9</v>
      </c>
      <c r="B9" s="30">
        <v>75</v>
      </c>
      <c r="C9" s="10">
        <f>(B9-B8)/B8</f>
        <v>0</v>
      </c>
      <c r="D9" s="10">
        <f>(A9*9.8/1000)/(C4)</f>
        <v>1231.28205128205</v>
      </c>
    </row>
    <row r="10" spans="1:4">
      <c r="A10" s="30">
        <v>54.9</v>
      </c>
      <c r="B10" s="30">
        <v>77</v>
      </c>
      <c r="C10" s="10">
        <f>(B10-B8)/B8</f>
        <v>0.0266666666666667</v>
      </c>
      <c r="D10" s="10">
        <f>(A10*9.8/1000)/(C4)</f>
        <v>13795.3846153846</v>
      </c>
    </row>
    <row r="11" spans="1:4">
      <c r="A11" s="31">
        <v>104.9</v>
      </c>
      <c r="B11" s="31">
        <v>78</v>
      </c>
      <c r="C11" s="32">
        <f>(B11-B8)/B8</f>
        <v>0.04</v>
      </c>
      <c r="D11" s="32">
        <f>(A11*9.8/1000)/(C4)</f>
        <v>26359.4871794872</v>
      </c>
    </row>
    <row r="12" spans="1:4">
      <c r="A12" s="31">
        <v>154.9</v>
      </c>
      <c r="B12" s="31">
        <v>78</v>
      </c>
      <c r="C12" s="32">
        <f>(B12-B8)/B8</f>
        <v>0.04</v>
      </c>
      <c r="D12" s="32">
        <f>(A12*9.8/1000)/(C4)</f>
        <v>38923.5897435897</v>
      </c>
    </row>
    <row r="13" spans="1:4">
      <c r="A13" s="30">
        <v>204.9</v>
      </c>
      <c r="B13" s="30">
        <v>78.8</v>
      </c>
      <c r="C13" s="10">
        <f>(B13-B8)/B8</f>
        <v>0.0506666666666666</v>
      </c>
      <c r="D13" s="10">
        <f>(A13*9.8/1000)/(C4)</f>
        <v>51487.6923076923</v>
      </c>
    </row>
    <row r="14" spans="1:4">
      <c r="A14" s="30">
        <v>254.9</v>
      </c>
      <c r="B14" s="30">
        <v>79.2</v>
      </c>
      <c r="C14" s="10">
        <f>(B14-B8)/B8</f>
        <v>0.056</v>
      </c>
      <c r="D14" s="10">
        <f>(A14*9.8/1000)/(C4)</f>
        <v>64051.7948717949</v>
      </c>
    </row>
    <row r="15" spans="1:4">
      <c r="A15" s="30">
        <v>304.9</v>
      </c>
      <c r="B15" s="30">
        <v>79.9</v>
      </c>
      <c r="C15" s="10">
        <f>(B15-B8)/B8</f>
        <v>0.0653333333333334</v>
      </c>
      <c r="D15" s="10">
        <f>(A15*9.8/1000)/(C4)</f>
        <v>76615.8974358974</v>
      </c>
    </row>
    <row r="16" spans="1:4">
      <c r="A16" s="30">
        <v>354.9</v>
      </c>
      <c r="B16" s="30">
        <v>80</v>
      </c>
      <c r="C16" s="10">
        <f>(B16-B8)/B8</f>
        <v>0.0666666666666667</v>
      </c>
      <c r="D16" s="10">
        <f>(A16*9.8/1000)/(C4)</f>
        <v>89180</v>
      </c>
    </row>
    <row r="17" spans="1:4">
      <c r="A17" s="30">
        <v>404.9</v>
      </c>
      <c r="B17" s="30">
        <v>81</v>
      </c>
      <c r="C17" s="10">
        <f>(B17-B8)/B8</f>
        <v>0.08</v>
      </c>
      <c r="D17" s="10">
        <f>(A17*9.8/1000)/(C4)</f>
        <v>101744.102564103</v>
      </c>
    </row>
    <row r="18" spans="1:4">
      <c r="A18" s="30">
        <v>504.9</v>
      </c>
      <c r="B18" s="30">
        <v>83.2</v>
      </c>
      <c r="C18" s="10">
        <f>(B18-B8)/B8</f>
        <v>0.109333333333333</v>
      </c>
      <c r="D18" s="10">
        <f>(A18*9.8/1000)/(C4)</f>
        <v>126872.307692308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1257506.63871662</v>
      </c>
    </row>
    <row r="22" spans="2:3">
      <c r="B22">
        <f>STEYX(D8:D18,C8:C18)</f>
        <v>9686.54052820652</v>
      </c>
      <c r="C22">
        <v>1260000</v>
      </c>
    </row>
    <row r="23" spans="2:3">
      <c r="B23">
        <f>1.96*B22</f>
        <v>18985.6194352848</v>
      </c>
      <c r="C23">
        <v>20000</v>
      </c>
    </row>
  </sheetData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D23"/>
  <sheetViews>
    <sheetView workbookViewId="0">
      <selection activeCell="C22" sqref="C2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33</v>
      </c>
    </row>
    <row r="2" ht="14.4" spans="1:2">
      <c r="A2" s="3" t="s">
        <v>2</v>
      </c>
      <c r="B2" s="4"/>
    </row>
    <row r="3" spans="1:3">
      <c r="A3" s="5" t="s">
        <v>3</v>
      </c>
      <c r="B3" s="6">
        <v>14</v>
      </c>
      <c r="C3" s="7" t="s">
        <v>4</v>
      </c>
    </row>
    <row r="4" spans="1:3">
      <c r="A4" s="8" t="s">
        <v>5</v>
      </c>
      <c r="B4" s="9">
        <v>2.5</v>
      </c>
      <c r="C4" s="10">
        <f>(B3/1000)*(B4/1000)</f>
        <v>3.5e-5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1">
        <v>0</v>
      </c>
      <c r="B8" s="21">
        <v>76</v>
      </c>
      <c r="C8" s="10">
        <v>0</v>
      </c>
      <c r="D8" s="10">
        <v>0</v>
      </c>
    </row>
    <row r="9" spans="1:4">
      <c r="A9" s="22">
        <v>5</v>
      </c>
      <c r="B9" s="22">
        <v>76</v>
      </c>
      <c r="C9" s="10">
        <f>(B9-B8)/B8</f>
        <v>0</v>
      </c>
      <c r="D9" s="10">
        <f>(A9*9.8/1000)/(C4)</f>
        <v>1400</v>
      </c>
    </row>
    <row r="10" spans="1:4">
      <c r="A10" s="22">
        <v>55</v>
      </c>
      <c r="B10" s="22">
        <v>77.5</v>
      </c>
      <c r="C10" s="10">
        <f>(B10-B8)/B8</f>
        <v>0.0197368421052632</v>
      </c>
      <c r="D10" s="10">
        <f>(A10*9.8/1000)/(C4)</f>
        <v>15400</v>
      </c>
    </row>
    <row r="11" spans="1:4">
      <c r="A11" s="22">
        <v>105</v>
      </c>
      <c r="B11" s="22">
        <v>79</v>
      </c>
      <c r="C11" s="10">
        <f>(B11-B8)/B8</f>
        <v>0.0394736842105263</v>
      </c>
      <c r="D11" s="10">
        <f>(A11*9.8/1000)/(C4)</f>
        <v>29400</v>
      </c>
    </row>
    <row r="12" spans="1:4">
      <c r="A12" s="22">
        <v>155</v>
      </c>
      <c r="B12" s="22">
        <v>80</v>
      </c>
      <c r="C12" s="10">
        <f>(B12-B8)/B8</f>
        <v>0.0526315789473684</v>
      </c>
      <c r="D12" s="10">
        <f>(A12*9.8/1000)/(C4)</f>
        <v>43400</v>
      </c>
    </row>
    <row r="13" spans="1:4">
      <c r="A13" s="22">
        <v>205</v>
      </c>
      <c r="B13" s="22">
        <v>81.5</v>
      </c>
      <c r="C13" s="10">
        <f>(B13-B8)/B8</f>
        <v>0.0723684210526316</v>
      </c>
      <c r="D13" s="10">
        <f>(A13*9.8/1000)/(C4)</f>
        <v>57400</v>
      </c>
    </row>
    <row r="14" spans="1:4">
      <c r="A14" s="22">
        <v>255</v>
      </c>
      <c r="B14" s="22">
        <v>83</v>
      </c>
      <c r="C14" s="10">
        <f>(B14-B8)/B8</f>
        <v>0.0921052631578947</v>
      </c>
      <c r="D14" s="10">
        <f>(A14*9.8/1000)/(C4)</f>
        <v>71400</v>
      </c>
    </row>
    <row r="15" spans="1:4">
      <c r="A15" s="22">
        <v>305</v>
      </c>
      <c r="B15" s="22">
        <v>85</v>
      </c>
      <c r="C15" s="10">
        <f>(B15-B8)/B8</f>
        <v>0.118421052631579</v>
      </c>
      <c r="D15" s="10">
        <f>(A15*9.8/1000)/(C4)</f>
        <v>85400</v>
      </c>
    </row>
    <row r="16" spans="1:4">
      <c r="A16" s="22">
        <v>355</v>
      </c>
      <c r="B16" s="22">
        <v>86.5</v>
      </c>
      <c r="C16" s="10">
        <f>(B16-B8)/B8</f>
        <v>0.138157894736842</v>
      </c>
      <c r="D16" s="10">
        <f>(A16*9.8/1000)/(C4)</f>
        <v>99400</v>
      </c>
    </row>
    <row r="17" spans="1:4">
      <c r="A17" s="22">
        <v>405</v>
      </c>
      <c r="B17" s="22">
        <v>88</v>
      </c>
      <c r="C17" s="10">
        <f>(B17-B8)/B8</f>
        <v>0.157894736842105</v>
      </c>
      <c r="D17" s="10">
        <f>(A17*9.8/1000)/(C4)</f>
        <v>113400</v>
      </c>
    </row>
    <row r="18" spans="1:4">
      <c r="A18" s="22">
        <v>505</v>
      </c>
      <c r="B18" s="22">
        <v>92</v>
      </c>
      <c r="C18" s="10">
        <f>(B18-B8)/B8</f>
        <v>0.210526315789474</v>
      </c>
      <c r="D18" s="10">
        <f>(A18*9.8/1000)/(C4)</f>
        <v>141400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683360.50955414</v>
      </c>
    </row>
    <row r="22" spans="2:3">
      <c r="B22">
        <f>STEYX(D8:D18,C8:C18)</f>
        <v>3678.20333812945</v>
      </c>
      <c r="C22">
        <v>680000</v>
      </c>
    </row>
    <row r="23" spans="2:3">
      <c r="B23">
        <f>1.96*B22</f>
        <v>7209.27854273372</v>
      </c>
      <c r="C23">
        <v>10000</v>
      </c>
    </row>
  </sheetData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D23"/>
  <sheetViews>
    <sheetView workbookViewId="0">
      <selection activeCell="C8" sqref="C8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34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73</v>
      </c>
      <c r="C8" s="10">
        <v>0</v>
      </c>
      <c r="D8" s="10">
        <v>0</v>
      </c>
    </row>
    <row r="9" spans="1:4">
      <c r="A9" s="10">
        <v>15.4</v>
      </c>
      <c r="B9" s="10">
        <v>73</v>
      </c>
      <c r="C9" s="10">
        <f>(B9-B8)/B8</f>
        <v>0</v>
      </c>
      <c r="D9" s="10">
        <f>(A9*9.8/1000)/(C4)</f>
        <v>3869.74358974359</v>
      </c>
    </row>
    <row r="10" spans="1:4">
      <c r="A10" s="10">
        <v>115.4</v>
      </c>
      <c r="B10" s="10">
        <v>74</v>
      </c>
      <c r="C10" s="10">
        <f>(B10-B8)/B8</f>
        <v>0.0136986301369863</v>
      </c>
      <c r="D10" s="10">
        <f>(A10*9.8/1000)/(C4)</f>
        <v>28997.9487179487</v>
      </c>
    </row>
    <row r="11" spans="1:4">
      <c r="A11" s="10">
        <v>215.4</v>
      </c>
      <c r="B11" s="10">
        <v>75</v>
      </c>
      <c r="C11" s="10">
        <f>(B11-B8)/B8</f>
        <v>0.0273972602739726</v>
      </c>
      <c r="D11" s="10">
        <f>(A11*9.8/1000)/(C4)</f>
        <v>54126.1538461539</v>
      </c>
    </row>
    <row r="12" spans="1:4">
      <c r="A12" s="10">
        <v>315.4</v>
      </c>
      <c r="B12" s="10">
        <v>75.5</v>
      </c>
      <c r="C12" s="10">
        <f>(B12-B8)/B8</f>
        <v>0.0342465753424658</v>
      </c>
      <c r="D12" s="10">
        <f>(A12*9.8/1000)/(C4)</f>
        <v>79254.358974359</v>
      </c>
    </row>
    <row r="13" spans="1:4">
      <c r="A13" s="10">
        <v>415.4</v>
      </c>
      <c r="B13" s="10">
        <v>76</v>
      </c>
      <c r="C13" s="10">
        <f>(B13-B8)/B8</f>
        <v>0.0410958904109589</v>
      </c>
      <c r="D13" s="10">
        <f>(A13*9.8/1000)/(C4)</f>
        <v>104382.564102564</v>
      </c>
    </row>
    <row r="14" spans="1:4">
      <c r="A14" s="10">
        <v>515.4</v>
      </c>
      <c r="B14" s="10">
        <v>77</v>
      </c>
      <c r="C14" s="10">
        <f>(B14-B8)/B8</f>
        <v>0.0547945205479452</v>
      </c>
      <c r="D14" s="10">
        <f>(A14*9.8/1000)/(C4)</f>
        <v>129510.769230769</v>
      </c>
    </row>
    <row r="15" spans="1:4">
      <c r="A15" s="10">
        <v>615.4</v>
      </c>
      <c r="B15" s="10">
        <v>78</v>
      </c>
      <c r="C15" s="10">
        <f>(B15-B8)/B8</f>
        <v>0.0684931506849315</v>
      </c>
      <c r="D15" s="10">
        <f>(A15*9.8/1000)/(C4)</f>
        <v>154638.974358974</v>
      </c>
    </row>
    <row r="16" spans="1:4">
      <c r="A16" s="10">
        <v>715.4</v>
      </c>
      <c r="B16" s="10">
        <v>79</v>
      </c>
      <c r="C16" s="10">
        <f>(B16-B8)/B8</f>
        <v>0.0821917808219178</v>
      </c>
      <c r="D16" s="10">
        <f>(A16*9.8/1000)/(C4)</f>
        <v>179767.179487179</v>
      </c>
    </row>
    <row r="17" spans="1:4">
      <c r="A17" s="10">
        <v>815.4</v>
      </c>
      <c r="B17" s="10">
        <v>80</v>
      </c>
      <c r="C17" s="10">
        <f>(B17-B8)/B8</f>
        <v>0.0958904109589041</v>
      </c>
      <c r="D17" s="10">
        <f>(A17*9.8/1000)/(C4)</f>
        <v>204895.384615385</v>
      </c>
    </row>
    <row r="18" spans="1:4">
      <c r="A18" s="10">
        <v>915.4</v>
      </c>
      <c r="B18" s="10">
        <v>81</v>
      </c>
      <c r="C18" s="10">
        <f>(B18-B8)/B8</f>
        <v>0.10958904109589</v>
      </c>
      <c r="D18" s="10">
        <f>(A18*9.8/1000)/(C4)</f>
        <v>230023.58974359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2126860.26829683</v>
      </c>
    </row>
    <row r="22" spans="2:3">
      <c r="B22">
        <f>STEYX(D8:D18,C8:C18)</f>
        <v>6972.53557256147</v>
      </c>
      <c r="C22">
        <v>2130000</v>
      </c>
    </row>
    <row r="23" spans="2:3">
      <c r="B23">
        <f>1.96*B22</f>
        <v>13666.1697222205</v>
      </c>
      <c r="C23">
        <v>10000</v>
      </c>
    </row>
  </sheetData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D23"/>
  <sheetViews>
    <sheetView workbookViewId="0">
      <selection activeCell="C22" sqref="C2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35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68</v>
      </c>
      <c r="C8" s="10">
        <v>0</v>
      </c>
      <c r="D8" s="10">
        <v>0</v>
      </c>
    </row>
    <row r="9" spans="1:4">
      <c r="A9" s="10">
        <v>15.3</v>
      </c>
      <c r="B9" s="10">
        <v>69</v>
      </c>
      <c r="C9" s="10">
        <f>(B9-B8)/B8</f>
        <v>0.0147058823529412</v>
      </c>
      <c r="D9" s="10">
        <f>(A9*9.8/1000)/(C4)</f>
        <v>3844.61538461539</v>
      </c>
    </row>
    <row r="10" spans="1:4">
      <c r="A10" s="10">
        <v>115.3</v>
      </c>
      <c r="B10" s="10">
        <v>70</v>
      </c>
      <c r="C10" s="10">
        <f>(B10-B8)/B8</f>
        <v>0.0294117647058824</v>
      </c>
      <c r="D10" s="10">
        <f>(A10*9.8/1000)/(C4)</f>
        <v>28972.8205128205</v>
      </c>
    </row>
    <row r="11" spans="1:4">
      <c r="A11" s="10">
        <v>215.3</v>
      </c>
      <c r="B11" s="10">
        <v>71</v>
      </c>
      <c r="C11" s="10">
        <f>(B11-B8)/B8</f>
        <v>0.0441176470588235</v>
      </c>
      <c r="D11" s="10">
        <f>(A11*9.8/1000)/(C4)</f>
        <v>54101.0256410256</v>
      </c>
    </row>
    <row r="12" spans="1:4">
      <c r="A12" s="10">
        <v>315.3</v>
      </c>
      <c r="B12" s="10">
        <v>73</v>
      </c>
      <c r="C12" s="10">
        <f>(B12-B8)/B8</f>
        <v>0.0735294117647059</v>
      </c>
      <c r="D12" s="10">
        <f>(A12*9.8/1000)/(C4)</f>
        <v>79229.2307692308</v>
      </c>
    </row>
    <row r="13" spans="1:4">
      <c r="A13" s="10">
        <v>415.3</v>
      </c>
      <c r="B13" s="10">
        <v>74</v>
      </c>
      <c r="C13" s="10">
        <f>(B13-B8)/B8</f>
        <v>0.0882352941176471</v>
      </c>
      <c r="D13" s="10">
        <f>(A13*9.8/1000)/(C4)</f>
        <v>104357.435897436</v>
      </c>
    </row>
    <row r="14" spans="1:4">
      <c r="A14" s="10">
        <v>515.3</v>
      </c>
      <c r="B14" s="10">
        <v>76</v>
      </c>
      <c r="C14" s="10">
        <f>(B14-B8)/B8</f>
        <v>0.117647058823529</v>
      </c>
      <c r="D14" s="10">
        <f>(A14*9.8/1000)/(C4)</f>
        <v>129485.641025641</v>
      </c>
    </row>
    <row r="15" spans="1:4">
      <c r="A15" s="10">
        <v>565.3</v>
      </c>
      <c r="B15" s="10">
        <v>77</v>
      </c>
      <c r="C15" s="10">
        <f>(B15-B8)/B8</f>
        <v>0.132352941176471</v>
      </c>
      <c r="D15" s="10">
        <f>(A15*9.8/1000)/(C4)</f>
        <v>142049.743589744</v>
      </c>
    </row>
    <row r="16" spans="1:4">
      <c r="A16" s="10">
        <v>615.3</v>
      </c>
      <c r="B16" s="10">
        <v>78</v>
      </c>
      <c r="C16" s="10">
        <f>(B16-B8)/B8</f>
        <v>0.147058823529412</v>
      </c>
      <c r="D16" s="10">
        <f>(A16*9.8/1000)/(C4)</f>
        <v>154613.846153846</v>
      </c>
    </row>
    <row r="17" spans="1:4">
      <c r="A17" s="10">
        <v>665.3</v>
      </c>
      <c r="B17" s="10">
        <v>79</v>
      </c>
      <c r="C17" s="10">
        <f>(B17-B8)/B8</f>
        <v>0.161764705882353</v>
      </c>
      <c r="D17" s="10">
        <f>(A17*9.8/1000)/(C4)</f>
        <v>167177.948717949</v>
      </c>
    </row>
    <row r="18" spans="1:4">
      <c r="A18" s="10">
        <v>715.3</v>
      </c>
      <c r="B18" s="10">
        <v>80</v>
      </c>
      <c r="C18" s="10">
        <f>(B18-B8)/B8</f>
        <v>0.176470588235294</v>
      </c>
      <c r="D18" s="10">
        <f>(A18*9.8/1000)/(C4)</f>
        <v>179742.051282051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1055656.66113263</v>
      </c>
    </row>
    <row r="22" spans="2:3">
      <c r="B22">
        <f>STEYX(D8:D18,C8:C18)</f>
        <v>6784.04424785571</v>
      </c>
      <c r="C22">
        <v>1060000</v>
      </c>
    </row>
    <row r="23" spans="2:3">
      <c r="B23">
        <f>1.96*B22</f>
        <v>13296.7267257972</v>
      </c>
      <c r="C23">
        <v>10000</v>
      </c>
    </row>
  </sheetData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D23"/>
  <sheetViews>
    <sheetView workbookViewId="0">
      <selection activeCell="C22" sqref="C2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36</v>
      </c>
    </row>
    <row r="2" ht="14.4" spans="1:2">
      <c r="A2" s="3" t="s">
        <v>2</v>
      </c>
      <c r="B2" s="4"/>
    </row>
    <row r="3" spans="1:3">
      <c r="A3" s="5" t="s">
        <v>3</v>
      </c>
      <c r="B3" s="6">
        <v>12.5</v>
      </c>
      <c r="C3" s="7" t="s">
        <v>4</v>
      </c>
    </row>
    <row r="4" spans="1:3">
      <c r="A4" s="8" t="s">
        <v>5</v>
      </c>
      <c r="B4" s="9">
        <v>2</v>
      </c>
      <c r="C4" s="10">
        <f>(B3/1000)*(B4/1000)</f>
        <v>2.5e-5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70</v>
      </c>
      <c r="C8" s="10">
        <v>0</v>
      </c>
      <c r="D8" s="10">
        <v>0</v>
      </c>
    </row>
    <row r="9" spans="1:4">
      <c r="A9" s="10">
        <v>20.9</v>
      </c>
      <c r="B9" s="10">
        <v>70.5</v>
      </c>
      <c r="C9" s="10">
        <f>(B9-B8)/B8</f>
        <v>0.00714285714285714</v>
      </c>
      <c r="D9" s="10">
        <f>(A9*9.8/1000)/(C4)</f>
        <v>8192.8</v>
      </c>
    </row>
    <row r="10" spans="1:4">
      <c r="A10" s="10">
        <v>220.9</v>
      </c>
      <c r="B10" s="10">
        <v>74</v>
      </c>
      <c r="C10" s="10">
        <f>(B10-B8)/B8</f>
        <v>0.0571428571428571</v>
      </c>
      <c r="D10" s="10">
        <f>(A10*9.8/1000)/(C4)</f>
        <v>86592.8</v>
      </c>
    </row>
    <row r="11" spans="1:4">
      <c r="A11" s="10">
        <v>420.9</v>
      </c>
      <c r="B11" s="10">
        <v>78.5</v>
      </c>
      <c r="C11" s="10">
        <f>(B11-B8)/B8</f>
        <v>0.121428571428571</v>
      </c>
      <c r="D11" s="10">
        <f>(A11*9.8/1000)/(C4)</f>
        <v>164992.8</v>
      </c>
    </row>
    <row r="12" spans="1:4">
      <c r="A12" s="10">
        <v>620.9</v>
      </c>
      <c r="B12" s="10">
        <v>82</v>
      </c>
      <c r="C12" s="10">
        <f>(B12-B8)/B8</f>
        <v>0.171428571428571</v>
      </c>
      <c r="D12" s="10">
        <f>(A12*9.8/1000)/(C4)</f>
        <v>243392.8</v>
      </c>
    </row>
    <row r="13" spans="1:4">
      <c r="A13" s="10">
        <v>720.9</v>
      </c>
      <c r="B13" s="10">
        <v>84.5</v>
      </c>
      <c r="C13" s="10">
        <f>(B13-B8)/B8</f>
        <v>0.207142857142857</v>
      </c>
      <c r="D13" s="10">
        <f>(A13*9.8/1000)/(C4)</f>
        <v>282592.8</v>
      </c>
    </row>
    <row r="14" spans="1:4">
      <c r="A14" s="10">
        <v>920.9</v>
      </c>
      <c r="B14" s="10">
        <v>89</v>
      </c>
      <c r="C14" s="10">
        <f>(B14-B8)/B8</f>
        <v>0.271428571428571</v>
      </c>
      <c r="D14" s="10">
        <f>(A14*9.8/1000)/(C4)</f>
        <v>360992.8</v>
      </c>
    </row>
    <row r="15" spans="1:4">
      <c r="A15" s="10">
        <v>1120.9</v>
      </c>
      <c r="B15" s="10">
        <v>92.5</v>
      </c>
      <c r="C15" s="10">
        <f>(B15-B8)/B8</f>
        <v>0.321428571428571</v>
      </c>
      <c r="D15" s="10">
        <f>(A15*9.8/1000)/(C4)</f>
        <v>439392.8</v>
      </c>
    </row>
    <row r="16" spans="1:4">
      <c r="A16" s="10">
        <v>1220.9</v>
      </c>
      <c r="B16" s="10">
        <v>94.5</v>
      </c>
      <c r="C16" s="10">
        <f>(B16-B8)/B8</f>
        <v>0.35</v>
      </c>
      <c r="D16" s="10">
        <f>(A16*9.8/1000)/(C4)</f>
        <v>478592.8</v>
      </c>
    </row>
    <row r="17" spans="1:4">
      <c r="A17" s="10">
        <v>1320.9</v>
      </c>
      <c r="B17" s="10">
        <v>96</v>
      </c>
      <c r="C17" s="10">
        <f>(B17-B8)/B8</f>
        <v>0.371428571428571</v>
      </c>
      <c r="D17" s="10">
        <f>(A17*9.8/1000)/(C4)</f>
        <v>517792.8</v>
      </c>
    </row>
    <row r="18" spans="1:4">
      <c r="A18" s="10">
        <v>1420.9</v>
      </c>
      <c r="B18" s="10">
        <v>97.5</v>
      </c>
      <c r="C18" s="10">
        <f>(B18-B8)/B8</f>
        <v>0.392857142857143</v>
      </c>
      <c r="D18" s="10">
        <f>(A18*9.8/1000)/(C4)</f>
        <v>556992.8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1383701.02851173</v>
      </c>
    </row>
    <row r="22" spans="2:3">
      <c r="B22">
        <f>STEYX(D8:D18,C8:C18)</f>
        <v>8098.9803043035</v>
      </c>
      <c r="C22">
        <v>1380000</v>
      </c>
    </row>
    <row r="23" spans="2:3">
      <c r="B23">
        <f>1.96*B22</f>
        <v>15874.0013964349</v>
      </c>
      <c r="C23">
        <v>20000</v>
      </c>
    </row>
  </sheetData>
  <pageMargins left="0.7" right="0.7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23"/>
  <sheetViews>
    <sheetView workbookViewId="0">
      <selection activeCell="C22" sqref="C2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37</v>
      </c>
    </row>
    <row r="2" ht="14.4" spans="1:2">
      <c r="A2" s="3" t="s">
        <v>2</v>
      </c>
      <c r="B2" s="4"/>
    </row>
    <row r="3" spans="1:3">
      <c r="A3" s="5" t="s">
        <v>3</v>
      </c>
      <c r="B3" s="6">
        <v>13.5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4.05e-5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76</v>
      </c>
      <c r="C8" s="10">
        <v>0</v>
      </c>
      <c r="D8" s="10">
        <v>0</v>
      </c>
    </row>
    <row r="9" spans="1:4">
      <c r="A9" s="10">
        <v>15.6</v>
      </c>
      <c r="B9" s="10">
        <v>77.5</v>
      </c>
      <c r="C9" s="10">
        <f>(B9-B8)/B8</f>
        <v>0.0197368421052632</v>
      </c>
      <c r="D9" s="10">
        <f>(A9*9.8/1000)/(C4)</f>
        <v>3774.81481481481</v>
      </c>
    </row>
    <row r="10" spans="1:4">
      <c r="A10" s="10">
        <v>215.6</v>
      </c>
      <c r="B10" s="10">
        <v>78.4</v>
      </c>
      <c r="C10" s="10">
        <f>(B10-B8)/B8</f>
        <v>0.0315789473684211</v>
      </c>
      <c r="D10" s="10">
        <f>(A10*9.8/1000)/(C4)</f>
        <v>52169.8765432099</v>
      </c>
    </row>
    <row r="11" spans="1:4">
      <c r="A11" s="10">
        <v>415.6</v>
      </c>
      <c r="B11" s="10">
        <v>80.3</v>
      </c>
      <c r="C11" s="10">
        <f>(B11-B8)/B8</f>
        <v>0.056578947368421</v>
      </c>
      <c r="D11" s="10">
        <f>(A11*9.8/1000)/(C4)</f>
        <v>100564.938271605</v>
      </c>
    </row>
    <row r="12" spans="1:4">
      <c r="A12" s="10">
        <v>515.6</v>
      </c>
      <c r="B12" s="10">
        <v>82</v>
      </c>
      <c r="C12" s="10">
        <f>(B12-B8)/B8</f>
        <v>0.0789473684210526</v>
      </c>
      <c r="D12" s="10">
        <f>(A12*9.8/1000)/(C4)</f>
        <v>124762.469135802</v>
      </c>
    </row>
    <row r="13" spans="1:4">
      <c r="A13" s="10">
        <v>615.6</v>
      </c>
      <c r="B13" s="10">
        <v>83.9</v>
      </c>
      <c r="C13" s="10">
        <f>(B13-B8)/B8</f>
        <v>0.103947368421053</v>
      </c>
      <c r="D13" s="10">
        <f>(A13*9.8/1000)/(C4)</f>
        <v>148960</v>
      </c>
    </row>
    <row r="14" spans="1:4">
      <c r="A14" s="10">
        <v>715.6</v>
      </c>
      <c r="B14" s="10">
        <v>84.8</v>
      </c>
      <c r="C14" s="10">
        <f>(B14-B8)/B8</f>
        <v>0.11578947368421</v>
      </c>
      <c r="D14" s="10">
        <f>(A14*9.8/1000)/(C4)</f>
        <v>173157.530864198</v>
      </c>
    </row>
    <row r="15" spans="1:4">
      <c r="A15" s="10">
        <v>815.6</v>
      </c>
      <c r="B15" s="10">
        <v>86</v>
      </c>
      <c r="C15" s="10">
        <f>(B15-B8)/B8</f>
        <v>0.131578947368421</v>
      </c>
      <c r="D15" s="10">
        <f>(A15*9.8/1000)/(C4)</f>
        <v>197355.061728395</v>
      </c>
    </row>
    <row r="16" spans="1:4">
      <c r="A16" s="10">
        <v>915.6</v>
      </c>
      <c r="B16" s="10">
        <v>87.3</v>
      </c>
      <c r="C16" s="10">
        <f>(B16-B8)/B8</f>
        <v>0.148684210526316</v>
      </c>
      <c r="D16" s="10">
        <f>(A16*9.8/1000)/(C4)</f>
        <v>221552.592592593</v>
      </c>
    </row>
    <row r="17" spans="1:4">
      <c r="A17" s="10">
        <v>1015.6</v>
      </c>
      <c r="B17" s="10">
        <v>88.8</v>
      </c>
      <c r="C17" s="10">
        <f>(B17-B8)/B8</f>
        <v>0.168421052631579</v>
      </c>
      <c r="D17" s="10">
        <f>(A17*9.8/1000)/(C4)</f>
        <v>245750.12345679</v>
      </c>
    </row>
    <row r="18" spans="1:4">
      <c r="A18" s="10">
        <v>1065.6</v>
      </c>
      <c r="B18" s="10">
        <v>89</v>
      </c>
      <c r="C18" s="10">
        <f>(B18-B8)/B8</f>
        <v>0.171052631578947</v>
      </c>
      <c r="D18" s="10">
        <f>(A18*9.8/1000)/(C4)</f>
        <v>257848.888888889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1509640.04509259</v>
      </c>
    </row>
    <row r="22" spans="2:3">
      <c r="B22">
        <f>STEYX(D8:D18,C8:C18)</f>
        <v>10835.1235831931</v>
      </c>
      <c r="C22">
        <v>1510000</v>
      </c>
    </row>
    <row r="23" spans="2:3">
      <c r="B23">
        <f>1.96*B22</f>
        <v>21236.8422230585</v>
      </c>
      <c r="C23">
        <v>20000</v>
      </c>
    </row>
  </sheetData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C22" sqref="C2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38</v>
      </c>
    </row>
    <row r="2" ht="14.4" spans="1:2">
      <c r="A2" s="3" t="s">
        <v>2</v>
      </c>
      <c r="B2" s="4"/>
    </row>
    <row r="3" spans="1:3">
      <c r="A3" s="5" t="s">
        <v>3</v>
      </c>
      <c r="B3" s="6">
        <v>14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4.2e-5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78</v>
      </c>
      <c r="C8" s="10">
        <v>0</v>
      </c>
      <c r="D8" s="10">
        <v>0</v>
      </c>
    </row>
    <row r="9" spans="1:4">
      <c r="A9" s="10">
        <v>120.9</v>
      </c>
      <c r="B9" s="10">
        <v>80</v>
      </c>
      <c r="C9" s="10">
        <f>(B9-B8)/B8</f>
        <v>0.0256410256410256</v>
      </c>
      <c r="D9" s="10">
        <f>(A9*9.8/1000)/(C4)</f>
        <v>28210</v>
      </c>
    </row>
    <row r="10" spans="1:4">
      <c r="A10" s="10">
        <v>170.9</v>
      </c>
      <c r="B10" s="10">
        <v>81</v>
      </c>
      <c r="C10" s="10">
        <f>(B10-B8)/B8</f>
        <v>0.0384615384615385</v>
      </c>
      <c r="D10" s="10">
        <f>(A10*9.8/1000)/(C4)</f>
        <v>39876.6666666667</v>
      </c>
    </row>
    <row r="11" spans="1:4">
      <c r="A11" s="10">
        <v>220.9</v>
      </c>
      <c r="B11" s="10">
        <v>82</v>
      </c>
      <c r="C11" s="10">
        <f>(B11-B8)/B8</f>
        <v>0.0512820512820513</v>
      </c>
      <c r="D11" s="10">
        <f>(A11*9.8/1000)/(C4)</f>
        <v>51543.3333333333</v>
      </c>
    </row>
    <row r="12" spans="1:4">
      <c r="A12" s="10">
        <v>270.9</v>
      </c>
      <c r="B12" s="10">
        <v>83</v>
      </c>
      <c r="C12" s="10">
        <f>(B12-B8)/B8</f>
        <v>0.0641025641025641</v>
      </c>
      <c r="D12" s="10">
        <f>(A12*9.8/1000)/(C4)</f>
        <v>63210</v>
      </c>
    </row>
    <row r="13" spans="1:4">
      <c r="A13" s="10">
        <v>320.9</v>
      </c>
      <c r="B13" s="10">
        <v>83.5</v>
      </c>
      <c r="C13" s="10">
        <f>(B13-B8)/B8</f>
        <v>0.0705128205128205</v>
      </c>
      <c r="D13" s="10">
        <f>(A13*9.8/1000)/(C4)</f>
        <v>74876.6666666667</v>
      </c>
    </row>
    <row r="14" spans="1:4">
      <c r="A14" s="10">
        <v>370.9</v>
      </c>
      <c r="B14" s="10">
        <v>85</v>
      </c>
      <c r="C14" s="10">
        <f>(B14-B8)/B8</f>
        <v>0.0897435897435897</v>
      </c>
      <c r="D14" s="10">
        <f>(A14*9.8/1000)/(C4)</f>
        <v>86543.3333333333</v>
      </c>
    </row>
    <row r="15" spans="1:4">
      <c r="A15" s="10">
        <v>420.9</v>
      </c>
      <c r="B15" s="10">
        <v>85.5</v>
      </c>
      <c r="C15" s="10">
        <f>(B15-B8)/B8</f>
        <v>0.0961538461538462</v>
      </c>
      <c r="D15" s="10">
        <f>(A15*9.8/1000)/(C4)</f>
        <v>98210</v>
      </c>
    </row>
    <row r="16" spans="1:4">
      <c r="A16" s="10">
        <v>470.9</v>
      </c>
      <c r="B16" s="10">
        <v>86</v>
      </c>
      <c r="C16" s="10">
        <f>(B16-B8)/B8</f>
        <v>0.102564102564103</v>
      </c>
      <c r="D16" s="10">
        <f>(A16*9.8/1000)/(C4)</f>
        <v>109876.666666667</v>
      </c>
    </row>
    <row r="17" spans="1:4">
      <c r="A17" s="10">
        <v>520.9</v>
      </c>
      <c r="B17" s="10">
        <v>87</v>
      </c>
      <c r="C17" s="10">
        <f>(B17-B8)/B8</f>
        <v>0.115384615384615</v>
      </c>
      <c r="D17" s="10">
        <f>(A17*9.8/1000)/(C4)</f>
        <v>121543.333333333</v>
      </c>
    </row>
    <row r="18" spans="1:4">
      <c r="A18" s="10">
        <v>620.9</v>
      </c>
      <c r="B18" s="10">
        <v>90.5</v>
      </c>
      <c r="C18" s="10">
        <f>(B18-B8)/B8</f>
        <v>0.16025641025641</v>
      </c>
      <c r="D18" s="10">
        <f>(A18*9.8/1000)/(C4)</f>
        <v>144876.666666667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948333.916544656</v>
      </c>
    </row>
    <row r="22" spans="2:3">
      <c r="B22">
        <f>STEYX(D8:D18,C8:C18)</f>
        <v>5910.97511399794</v>
      </c>
      <c r="C22">
        <v>950000</v>
      </c>
    </row>
    <row r="23" spans="2:3">
      <c r="B23">
        <f>1.96*B22</f>
        <v>11585.511223436</v>
      </c>
      <c r="C23">
        <v>10000</v>
      </c>
    </row>
  </sheetData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D23"/>
  <sheetViews>
    <sheetView workbookViewId="0">
      <selection activeCell="C22" sqref="C2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39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2</v>
      </c>
      <c r="C4" s="10">
        <f>(B3/1000)*(B4/1000)</f>
        <v>2.6e-5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67</v>
      </c>
      <c r="C8" s="10">
        <v>0</v>
      </c>
      <c r="D8" s="10">
        <v>0</v>
      </c>
    </row>
    <row r="9" spans="1:4">
      <c r="A9" s="10">
        <v>4.9</v>
      </c>
      <c r="B9" s="10">
        <v>67</v>
      </c>
      <c r="C9" s="10">
        <f>(B9-B8)/B8</f>
        <v>0</v>
      </c>
      <c r="D9" s="10">
        <f>(A9*9.8/1000)/(C4)</f>
        <v>1846.92307692308</v>
      </c>
    </row>
    <row r="10" spans="1:4">
      <c r="A10" s="10">
        <v>54.9</v>
      </c>
      <c r="B10" s="10">
        <v>67.5</v>
      </c>
      <c r="C10" s="10">
        <f>(B10-B8)/B8</f>
        <v>0.00746268656716418</v>
      </c>
      <c r="D10" s="10">
        <f>(A10*9.8/1000)/(C4)</f>
        <v>20693.0769230769</v>
      </c>
    </row>
    <row r="11" spans="1:4">
      <c r="A11" s="10">
        <v>104.9</v>
      </c>
      <c r="B11" s="10">
        <v>68</v>
      </c>
      <c r="C11" s="10">
        <f>(B11-B8)/B8</f>
        <v>0.0149253731343284</v>
      </c>
      <c r="D11" s="10">
        <f>(A11*9.8/1000)/(C4)</f>
        <v>39539.2307692308</v>
      </c>
    </row>
    <row r="12" spans="1:4">
      <c r="A12" s="10">
        <v>154.9</v>
      </c>
      <c r="B12" s="10">
        <v>68.5</v>
      </c>
      <c r="C12" s="10">
        <f>(B12-B8)/B8</f>
        <v>0.0223880597014925</v>
      </c>
      <c r="D12" s="10">
        <f>(A12*9.8/1000)/(C4)</f>
        <v>58385.3846153846</v>
      </c>
    </row>
    <row r="13" spans="1:4">
      <c r="A13" s="10">
        <v>204.9</v>
      </c>
      <c r="B13" s="10">
        <v>69</v>
      </c>
      <c r="C13" s="10">
        <f>(B13-B8)/B8</f>
        <v>0.0298507462686567</v>
      </c>
      <c r="D13" s="10">
        <f>(A13*9.8/1000)/(C4)</f>
        <v>77231.5384615385</v>
      </c>
    </row>
    <row r="14" spans="1:4">
      <c r="A14" s="10">
        <v>254.9</v>
      </c>
      <c r="B14" s="10">
        <v>70</v>
      </c>
      <c r="C14" s="10">
        <f>(B14-B8)/B8</f>
        <v>0.0447761194029851</v>
      </c>
      <c r="D14" s="10">
        <f>(A14*9.8/1000)/(C4)</f>
        <v>96077.6923076923</v>
      </c>
    </row>
    <row r="15" spans="1:4">
      <c r="A15" s="10">
        <v>304.9</v>
      </c>
      <c r="B15" s="10">
        <v>70.5</v>
      </c>
      <c r="C15" s="10">
        <f>(B15-B8)/B8</f>
        <v>0.0522388059701493</v>
      </c>
      <c r="D15" s="10">
        <f>(A15*9.8/1000)/(C4)</f>
        <v>114923.846153846</v>
      </c>
    </row>
    <row r="16" spans="1:4">
      <c r="A16" s="10">
        <v>354.9</v>
      </c>
      <c r="B16" s="10">
        <v>71</v>
      </c>
      <c r="C16" s="10">
        <f>(B16-B8)/B8</f>
        <v>0.0597014925373134</v>
      </c>
      <c r="D16" s="10">
        <f>(A16*9.8/1000)/(C4)</f>
        <v>133770</v>
      </c>
    </row>
    <row r="17" spans="1:4">
      <c r="A17" s="10">
        <v>404.9</v>
      </c>
      <c r="B17" s="10">
        <v>71.5</v>
      </c>
      <c r="C17" s="10">
        <f>(B17-B8)/B8</f>
        <v>0.0671641791044776</v>
      </c>
      <c r="D17" s="10">
        <f>(A17*9.8/1000)/(C4)</f>
        <v>152616.153846154</v>
      </c>
    </row>
    <row r="18" spans="1:4">
      <c r="A18" s="10">
        <v>454.9</v>
      </c>
      <c r="B18" s="10">
        <v>72</v>
      </c>
      <c r="C18" s="10">
        <f>(B18-B8)/B8</f>
        <v>0.0746268656716418</v>
      </c>
      <c r="D18" s="10">
        <f>(A18*9.8/1000)/(C4)</f>
        <v>171462.307692308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2205214.27818757</v>
      </c>
    </row>
    <row r="22" spans="2:3">
      <c r="B22">
        <f>STEYX(D8:D18,C8:C18)</f>
        <v>4501.81306509646</v>
      </c>
      <c r="C22">
        <v>2210000</v>
      </c>
    </row>
    <row r="23" spans="2:3">
      <c r="B23">
        <f>1.96*B22</f>
        <v>8823.55360758906</v>
      </c>
      <c r="C23">
        <v>10000</v>
      </c>
    </row>
  </sheetData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D23"/>
  <sheetViews>
    <sheetView workbookViewId="0">
      <selection activeCell="C22" sqref="C2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40</v>
      </c>
    </row>
    <row r="2" ht="14.4" spans="1:2">
      <c r="A2" s="3" t="s">
        <v>2</v>
      </c>
      <c r="B2" s="4"/>
    </row>
    <row r="3" spans="1:3">
      <c r="A3" s="5" t="s">
        <v>3</v>
      </c>
      <c r="B3" s="6">
        <v>13.5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4.05e-5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71</v>
      </c>
      <c r="C8" s="10">
        <v>0</v>
      </c>
      <c r="D8" s="10">
        <v>0</v>
      </c>
    </row>
    <row r="9" spans="1:4">
      <c r="A9" s="10">
        <v>5</v>
      </c>
      <c r="B9" s="10">
        <v>71</v>
      </c>
      <c r="C9" s="10">
        <f>(B9-B8)/B8</f>
        <v>0</v>
      </c>
      <c r="D9" s="10">
        <f>(A9*9.8/1000)/(C4)</f>
        <v>1209.87654320988</v>
      </c>
    </row>
    <row r="10" spans="1:4">
      <c r="A10" s="10">
        <v>205</v>
      </c>
      <c r="B10" s="10">
        <v>73</v>
      </c>
      <c r="C10" s="10">
        <f>(B10-B8)/B8</f>
        <v>0.028169014084507</v>
      </c>
      <c r="D10" s="10">
        <f>(A10*9.8/1000)/(C4)</f>
        <v>49604.9382716049</v>
      </c>
    </row>
    <row r="11" spans="1:4">
      <c r="A11" s="10">
        <v>405</v>
      </c>
      <c r="B11" s="10">
        <v>76</v>
      </c>
      <c r="C11" s="10">
        <f>(B11-B8)/B8</f>
        <v>0.0704225352112676</v>
      </c>
      <c r="D11" s="10">
        <f>(A11*9.8/1000)/(C4)</f>
        <v>98000</v>
      </c>
    </row>
    <row r="12" spans="1:4">
      <c r="A12" s="10">
        <v>605</v>
      </c>
      <c r="B12" s="10">
        <v>81</v>
      </c>
      <c r="C12" s="10">
        <f>(B12-B8)/B8</f>
        <v>0.140845070422535</v>
      </c>
      <c r="D12" s="10">
        <f>(A12*9.8/1000)/(C4)</f>
        <v>146395.061728395</v>
      </c>
    </row>
    <row r="13" spans="1:4">
      <c r="A13" s="10">
        <v>705</v>
      </c>
      <c r="B13" s="10">
        <v>83</v>
      </c>
      <c r="C13" s="10">
        <f>(B13-B8)/B8</f>
        <v>0.169014084507042</v>
      </c>
      <c r="D13" s="10">
        <f>(A13*9.8/1000)/(C4)</f>
        <v>170592.592592593</v>
      </c>
    </row>
    <row r="14" spans="1:4">
      <c r="A14" s="10">
        <v>805</v>
      </c>
      <c r="B14" s="10">
        <v>84</v>
      </c>
      <c r="C14" s="10">
        <f>(B14-B8)/B8</f>
        <v>0.183098591549296</v>
      </c>
      <c r="D14" s="10">
        <f>(A14*9.8/1000)/(C4)</f>
        <v>194790.12345679</v>
      </c>
    </row>
    <row r="15" spans="1:4">
      <c r="A15" s="10">
        <v>855</v>
      </c>
      <c r="B15" s="10">
        <v>84</v>
      </c>
      <c r="C15" s="10">
        <f>(B15-B8)/B8</f>
        <v>0.183098591549296</v>
      </c>
      <c r="D15" s="10">
        <f>(A15*9.8/1000)/(C4)</f>
        <v>206888.888888889</v>
      </c>
    </row>
    <row r="16" spans="1:4">
      <c r="A16" s="10">
        <v>905</v>
      </c>
      <c r="B16" s="10">
        <v>85</v>
      </c>
      <c r="C16" s="10">
        <f>(B16-B8)/B8</f>
        <v>0.197183098591549</v>
      </c>
      <c r="D16" s="10">
        <f>(A16*9.8/1000)/(C4)</f>
        <v>218987.654320988</v>
      </c>
    </row>
    <row r="17" spans="1:4">
      <c r="A17" s="10">
        <v>955</v>
      </c>
      <c r="B17" s="10">
        <v>86</v>
      </c>
      <c r="C17" s="10">
        <f>(B17-B8)/B8</f>
        <v>0.211267605633803</v>
      </c>
      <c r="D17" s="10">
        <f>(A17*9.8/1000)/(C4)</f>
        <v>231086.419753086</v>
      </c>
    </row>
    <row r="18" spans="1:4">
      <c r="A18" s="10">
        <v>1055</v>
      </c>
      <c r="B18" s="10">
        <v>87</v>
      </c>
      <c r="C18" s="10">
        <f>(B18-B8)/B8</f>
        <v>0.225352112676056</v>
      </c>
      <c r="D18" s="10">
        <f>(A18*9.8/1000)/(C4)</f>
        <v>255283.950617284</v>
      </c>
    </row>
    <row r="20" spans="1:3">
      <c r="A20" s="7" t="s">
        <v>12</v>
      </c>
      <c r="B20" s="10" t="s">
        <v>25</v>
      </c>
      <c r="C20" s="7" t="s">
        <v>14</v>
      </c>
    </row>
    <row r="21" spans="1:3">
      <c r="A21" s="7" t="s">
        <v>15</v>
      </c>
      <c r="B21" s="10" t="s">
        <v>26</v>
      </c>
      <c r="C21" s="10">
        <f>SLOPE(D8:D18,C8:C18)</f>
        <v>1056865.4771214</v>
      </c>
    </row>
    <row r="22" spans="2:3">
      <c r="B22">
        <f>STEYX(D8:D18,C8:C18)</f>
        <v>10655.3230283455</v>
      </c>
      <c r="C22">
        <v>1060000</v>
      </c>
    </row>
    <row r="23" spans="2:3">
      <c r="B23">
        <f>1.96*B22</f>
        <v>20884.4331355571</v>
      </c>
      <c r="C23">
        <v>20000</v>
      </c>
    </row>
  </sheetData>
  <pageMargins left="0.7" right="0.7" top="0.75" bottom="0.75" header="0.3" footer="0.3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D23"/>
  <sheetViews>
    <sheetView workbookViewId="0">
      <selection activeCell="C23" sqref="C23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41</v>
      </c>
    </row>
    <row r="2" ht="14.4" spans="1:2">
      <c r="A2" s="3" t="s">
        <v>2</v>
      </c>
      <c r="B2" s="4"/>
    </row>
    <row r="3" spans="1:3">
      <c r="A3" s="5" t="s">
        <v>3</v>
      </c>
      <c r="B3" s="6">
        <v>13.5</v>
      </c>
      <c r="C3" s="7" t="s">
        <v>4</v>
      </c>
    </row>
    <row r="4" spans="1:3">
      <c r="A4" s="8" t="s">
        <v>5</v>
      </c>
      <c r="B4" s="9">
        <v>2.5</v>
      </c>
      <c r="C4" s="10">
        <f>(B3/1000)*(B4/1000)</f>
        <v>3.375e-5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77</v>
      </c>
      <c r="C8" s="10">
        <v>0</v>
      </c>
      <c r="D8" s="10">
        <v>0</v>
      </c>
    </row>
    <row r="9" spans="1:4">
      <c r="A9" s="10">
        <v>15.6</v>
      </c>
      <c r="B9" s="10">
        <v>77.5</v>
      </c>
      <c r="C9" s="10">
        <f>(B9-B8)/B8</f>
        <v>0.00649350649350649</v>
      </c>
      <c r="D9" s="10">
        <f>(A9*9.8/1000)/(C4)</f>
        <v>4529.77777777778</v>
      </c>
    </row>
    <row r="10" spans="1:4">
      <c r="A10" s="10">
        <v>215.6</v>
      </c>
      <c r="B10" s="10">
        <v>79.3</v>
      </c>
      <c r="C10" s="10">
        <f>(B10-B8)/B8</f>
        <v>0.0298701298701298</v>
      </c>
      <c r="D10" s="10">
        <f>(A10*9.8/1000)/(C4)</f>
        <v>62603.8518518519</v>
      </c>
    </row>
    <row r="11" spans="1:4">
      <c r="A11" s="10">
        <v>315.6</v>
      </c>
      <c r="B11" s="10">
        <v>80.4</v>
      </c>
      <c r="C11" s="10">
        <f>(B11-B8)/B8</f>
        <v>0.0441558441558442</v>
      </c>
      <c r="D11" s="10">
        <f>(A11*9.8/1000)/(C4)</f>
        <v>91640.8888888889</v>
      </c>
    </row>
    <row r="12" spans="1:4">
      <c r="A12" s="10">
        <v>415.6</v>
      </c>
      <c r="B12" s="10">
        <v>82.5</v>
      </c>
      <c r="C12" s="10">
        <f>(B12-B8)/B8</f>
        <v>0.0714285714285714</v>
      </c>
      <c r="D12" s="10">
        <f>(A12*9.8/1000)/(C4)</f>
        <v>120677.925925926</v>
      </c>
    </row>
    <row r="13" spans="1:4">
      <c r="A13" s="10">
        <v>465.6</v>
      </c>
      <c r="B13" s="10">
        <v>82.9</v>
      </c>
      <c r="C13" s="10">
        <f>(B13-B8)/B8</f>
        <v>0.0766233766233767</v>
      </c>
      <c r="D13" s="10">
        <f>(A13*9.8/1000)/(C4)</f>
        <v>135196.444444444</v>
      </c>
    </row>
    <row r="14" spans="1:4">
      <c r="A14" s="10">
        <v>565.6</v>
      </c>
      <c r="B14" s="10">
        <v>84</v>
      </c>
      <c r="C14" s="10">
        <f>(B14-B8)/B8</f>
        <v>0.0909090909090909</v>
      </c>
      <c r="D14" s="10">
        <f>(A14*9.8/1000)/(C4)</f>
        <v>164233.481481482</v>
      </c>
    </row>
    <row r="15" spans="1:4">
      <c r="A15" s="10">
        <v>665.6</v>
      </c>
      <c r="B15" s="10">
        <v>85.4</v>
      </c>
      <c r="C15" s="10">
        <f>(B15-B8)/B8</f>
        <v>0.109090909090909</v>
      </c>
      <c r="D15" s="10">
        <f>(A15*9.8/1000)/(C4)</f>
        <v>193270.518518519</v>
      </c>
    </row>
    <row r="16" spans="1:4">
      <c r="A16" s="10">
        <v>765.6</v>
      </c>
      <c r="B16" s="10">
        <v>86.8</v>
      </c>
      <c r="C16" s="10">
        <f>(B16-B8)/B8</f>
        <v>0.127272727272727</v>
      </c>
      <c r="D16" s="10">
        <f>(A16*9.8/1000)/(C4)</f>
        <v>222307.555555556</v>
      </c>
    </row>
    <row r="17" spans="1:4">
      <c r="A17" s="10">
        <v>815.6</v>
      </c>
      <c r="B17" s="10">
        <v>87.4</v>
      </c>
      <c r="C17" s="10">
        <f>(B17-B8)/B8</f>
        <v>0.135064935064935</v>
      </c>
      <c r="D17" s="10">
        <f>(A17*9.8/1000)/(C4)</f>
        <v>236826.074074074</v>
      </c>
    </row>
    <row r="18" spans="1:4">
      <c r="A18" s="10"/>
      <c r="B18" s="10"/>
      <c r="C18" s="10"/>
      <c r="D18" s="10"/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SLOPE(D8:D17,C8:C17)</f>
        <v>1743983.36520611</v>
      </c>
    </row>
    <row r="22" spans="2:3">
      <c r="B22">
        <f>STEYX(D8:D18,C8:C18)</f>
        <v>6728.46475975982</v>
      </c>
      <c r="C22">
        <v>1740000</v>
      </c>
    </row>
    <row r="23" spans="2:3">
      <c r="B23">
        <f>1.96*B22</f>
        <v>13187.7909291292</v>
      </c>
      <c r="C23">
        <v>10000</v>
      </c>
    </row>
  </sheetData>
  <pageMargins left="0.7" right="0.7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D23"/>
  <sheetViews>
    <sheetView workbookViewId="0">
      <selection activeCell="A32" sqref="A3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42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72</v>
      </c>
      <c r="C8" s="10">
        <v>0</v>
      </c>
      <c r="D8" s="10">
        <v>0</v>
      </c>
    </row>
    <row r="9" spans="1:4">
      <c r="A9" s="10">
        <v>120.8</v>
      </c>
      <c r="B9" s="10">
        <v>79</v>
      </c>
      <c r="C9" s="10">
        <f>(B9-B8)/B8</f>
        <v>0.0972222222222222</v>
      </c>
      <c r="D9" s="10">
        <f>(A9*9.8/1000)/(C4)</f>
        <v>30354.8717948718</v>
      </c>
    </row>
    <row r="10" spans="1:4">
      <c r="A10" s="10">
        <v>170.8</v>
      </c>
      <c r="B10" s="10">
        <v>80</v>
      </c>
      <c r="C10" s="10">
        <f>(B10-B8)/B8</f>
        <v>0.111111111111111</v>
      </c>
      <c r="D10" s="10">
        <f>(A10*9.8/1000)/(C4)</f>
        <v>42918.9743589744</v>
      </c>
    </row>
    <row r="11" spans="1:4">
      <c r="A11" s="10">
        <v>220.8</v>
      </c>
      <c r="B11" s="10">
        <v>81</v>
      </c>
      <c r="C11" s="10">
        <f>(B11-B8)/B8</f>
        <v>0.125</v>
      </c>
      <c r="D11" s="10">
        <f>(A11*9.8/1000)/(C4)</f>
        <v>55483.0769230769</v>
      </c>
    </row>
    <row r="12" spans="1:4">
      <c r="A12" s="10">
        <v>320.8</v>
      </c>
      <c r="B12" s="10">
        <v>83</v>
      </c>
      <c r="C12" s="10">
        <f>(B12-B8)/B8</f>
        <v>0.152777777777778</v>
      </c>
      <c r="D12" s="10">
        <f>(A12*9.8/1000)/(C4)</f>
        <v>80611.282051282</v>
      </c>
    </row>
    <row r="13" spans="1:4">
      <c r="A13" s="10">
        <v>370.8</v>
      </c>
      <c r="B13" s="10">
        <v>84</v>
      </c>
      <c r="C13" s="10">
        <f>(B13-B8)/B8</f>
        <v>0.166666666666667</v>
      </c>
      <c r="D13" s="10">
        <f>(A13*9.8/1000)/(C4)</f>
        <v>93175.3846153846</v>
      </c>
    </row>
    <row r="14" spans="1:4">
      <c r="A14" s="10">
        <v>420.8</v>
      </c>
      <c r="B14" s="10">
        <v>86</v>
      </c>
      <c r="C14" s="10">
        <f>(B14-B8)/B8</f>
        <v>0.194444444444444</v>
      </c>
      <c r="D14" s="10">
        <f>(A14*9.8/1000)/(C4)</f>
        <v>105739.487179487</v>
      </c>
    </row>
    <row r="15" spans="1:4">
      <c r="A15" s="10">
        <v>520.8</v>
      </c>
      <c r="B15" s="10">
        <v>88</v>
      </c>
      <c r="C15" s="10">
        <f>(B15-B8)/B8</f>
        <v>0.222222222222222</v>
      </c>
      <c r="D15" s="10">
        <f>(A15*9.8/1000)/(C4)</f>
        <v>130867.692307692</v>
      </c>
    </row>
    <row r="16" spans="1:4">
      <c r="A16" s="10">
        <v>550.8</v>
      </c>
      <c r="B16" s="10">
        <v>90</v>
      </c>
      <c r="C16" s="10">
        <f>(B16-B8)/B8</f>
        <v>0.25</v>
      </c>
      <c r="D16" s="10">
        <f>(A16*9.8/1000)/(C4)</f>
        <v>138406.153846154</v>
      </c>
    </row>
    <row r="17" spans="1:4">
      <c r="A17" s="10">
        <v>620.8</v>
      </c>
      <c r="B17" s="10">
        <v>92</v>
      </c>
      <c r="C17" s="10">
        <f>(B17-B8)/B8</f>
        <v>0.277777777777778</v>
      </c>
      <c r="D17" s="10">
        <f>(A17*9.8/1000)/(C4)</f>
        <v>155995.897435897</v>
      </c>
    </row>
    <row r="18" spans="1:4">
      <c r="A18" s="10">
        <v>670.8</v>
      </c>
      <c r="B18" s="10">
        <v>93</v>
      </c>
      <c r="C18" s="10">
        <f>(B18-B8)/B8</f>
        <v>0.291666666666667</v>
      </c>
      <c r="D18" s="10">
        <f>(A18*9.8/1000)/(C4)</f>
        <v>168560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619635.692307692</v>
      </c>
    </row>
    <row r="22" spans="2:3">
      <c r="B22">
        <f>STEYX(D8:D18,C8:C18)</f>
        <v>8925.62676735662</v>
      </c>
      <c r="C22">
        <v>620000</v>
      </c>
    </row>
    <row r="23" spans="2:3">
      <c r="B23">
        <f>1.96*B22</f>
        <v>17494.228464019</v>
      </c>
      <c r="C23">
        <v>20000</v>
      </c>
    </row>
  </sheetData>
  <pageMargins left="0.7" right="0.7" top="0.75" bottom="0.75" header="0.3" footer="0.3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"/>
  <dimension ref="A1:D23"/>
  <sheetViews>
    <sheetView workbookViewId="0">
      <selection activeCell="A18" sqref="A18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43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26" t="s">
        <v>8</v>
      </c>
      <c r="B7" s="27" t="s">
        <v>9</v>
      </c>
      <c r="C7" s="7" t="s">
        <v>10</v>
      </c>
      <c r="D7" s="7" t="s">
        <v>11</v>
      </c>
    </row>
    <row r="8" spans="1:4">
      <c r="A8" s="10">
        <v>0</v>
      </c>
      <c r="B8" s="10">
        <v>65</v>
      </c>
      <c r="C8" s="10">
        <v>0</v>
      </c>
      <c r="D8" s="10">
        <v>0</v>
      </c>
    </row>
    <row r="9" spans="1:4">
      <c r="A9" s="10">
        <v>15.2</v>
      </c>
      <c r="B9" s="10">
        <v>69</v>
      </c>
      <c r="C9" s="10">
        <f>(B9-B8)/B8</f>
        <v>0.0615384615384615</v>
      </c>
      <c r="D9" s="10">
        <f>(A9*9.8/1000)/(C4)</f>
        <v>3819.48717948718</v>
      </c>
    </row>
    <row r="10" spans="1:4">
      <c r="A10" s="10">
        <v>115.2</v>
      </c>
      <c r="B10" s="10">
        <v>70</v>
      </c>
      <c r="C10" s="10">
        <f>(B10-B8)/B8</f>
        <v>0.0769230769230769</v>
      </c>
      <c r="D10" s="10">
        <f>(A10*9.8/1000)/(C4)</f>
        <v>28947.6923076923</v>
      </c>
    </row>
    <row r="11" spans="1:4">
      <c r="A11" s="10">
        <v>215.2</v>
      </c>
      <c r="B11" s="10">
        <v>71</v>
      </c>
      <c r="C11" s="10">
        <f>(B11-B8)/B8</f>
        <v>0.0923076923076923</v>
      </c>
      <c r="D11" s="10">
        <f>(A11*9.8/1000)/(C4)</f>
        <v>54075.8974358974</v>
      </c>
    </row>
    <row r="12" spans="1:4">
      <c r="A12" s="10">
        <v>415.2</v>
      </c>
      <c r="B12" s="10">
        <v>74</v>
      </c>
      <c r="C12" s="10">
        <f>(B12-B8)/B8</f>
        <v>0.138461538461538</v>
      </c>
      <c r="D12" s="10">
        <f>(A12*9.8/1000)/(C4)</f>
        <v>104332.307692308</v>
      </c>
    </row>
    <row r="13" spans="1:4">
      <c r="A13" s="10">
        <v>615.2</v>
      </c>
      <c r="B13" s="10">
        <v>78</v>
      </c>
      <c r="C13" s="10">
        <f>(B13-B8)/B8</f>
        <v>0.2</v>
      </c>
      <c r="D13" s="10">
        <f>(A13*9.8/1000)/(C4)</f>
        <v>154588.717948718</v>
      </c>
    </row>
    <row r="14" spans="1:4">
      <c r="A14" s="10">
        <v>715.2</v>
      </c>
      <c r="B14" s="10">
        <v>80</v>
      </c>
      <c r="C14" s="10">
        <f>(B14-B8)/B8</f>
        <v>0.230769230769231</v>
      </c>
      <c r="D14" s="10">
        <f>(A14*9.8/1000)/(C4)</f>
        <v>179716.923076923</v>
      </c>
    </row>
    <row r="15" spans="1:4">
      <c r="A15" s="10">
        <v>815.2</v>
      </c>
      <c r="B15" s="10">
        <v>81</v>
      </c>
      <c r="C15" s="10">
        <f>(B15-B8)/B8</f>
        <v>0.246153846153846</v>
      </c>
      <c r="D15" s="10">
        <f>(A15*9.8/1000)/(C4)</f>
        <v>204845.128205128</v>
      </c>
    </row>
    <row r="16" spans="1:4">
      <c r="A16" s="10">
        <v>915.2</v>
      </c>
      <c r="B16" s="10">
        <v>83</v>
      </c>
      <c r="C16" s="10">
        <f>(B16-B8)/B8</f>
        <v>0.276923076923077</v>
      </c>
      <c r="D16" s="10">
        <f>(A16*9.8/1000)/(C4)</f>
        <v>229973.333333333</v>
      </c>
    </row>
    <row r="17" spans="1:4">
      <c r="A17" s="10">
        <v>1015.2</v>
      </c>
      <c r="B17" s="10">
        <v>84</v>
      </c>
      <c r="C17" s="10">
        <f>(B17-B8)/B8</f>
        <v>0.292307692307692</v>
      </c>
      <c r="D17" s="10">
        <f>(A17*9.8/1000)/(C4)</f>
        <v>255101.538461538</v>
      </c>
    </row>
    <row r="18" spans="1:4">
      <c r="A18" s="16"/>
      <c r="B18" s="16"/>
      <c r="C18" s="10"/>
      <c r="D18" s="10"/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SLOPE(D8:D17,C8:C17)</f>
        <v>937320.01707213</v>
      </c>
    </row>
    <row r="22" spans="2:3">
      <c r="B22">
        <f>STEYX(D8:D18,C8:C18)</f>
        <v>15253.2472602256</v>
      </c>
      <c r="C22">
        <v>940000</v>
      </c>
    </row>
    <row r="23" spans="2:3">
      <c r="B23">
        <f>1.96*B22</f>
        <v>29896.3646300422</v>
      </c>
      <c r="C23">
        <v>30000</v>
      </c>
    </row>
  </sheetData>
  <pageMargins left="0.7" right="0.7" top="0.75" bottom="0.75" header="0.3" footer="0.3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D23"/>
  <sheetViews>
    <sheetView workbookViewId="0">
      <selection activeCell="B22" sqref="B22:B23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44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2.2</v>
      </c>
      <c r="C4" s="10">
        <f>(B3/1000)*(B4/1000)</f>
        <v>2.86e-5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60.8</v>
      </c>
      <c r="C8" s="10">
        <v>0</v>
      </c>
      <c r="D8" s="10">
        <v>0</v>
      </c>
    </row>
    <row r="9" spans="1:4">
      <c r="A9" s="10">
        <v>54.8</v>
      </c>
      <c r="B9" s="10">
        <v>61.2</v>
      </c>
      <c r="C9" s="10">
        <f>(B9-B8)/B8</f>
        <v>0.00657894736842115</v>
      </c>
      <c r="D9" s="10">
        <f>(A9*9.8/1000)/(C4)</f>
        <v>18777.6223776224</v>
      </c>
    </row>
    <row r="10" spans="1:4">
      <c r="A10" s="10">
        <v>104.8</v>
      </c>
      <c r="B10" s="10">
        <v>62.5</v>
      </c>
      <c r="C10" s="10">
        <f>(B10-B8)/B8</f>
        <v>0.0279605263157895</v>
      </c>
      <c r="D10" s="10">
        <f>(A10*9.8/1000)/(C4)</f>
        <v>35910.4895104895</v>
      </c>
    </row>
    <row r="11" spans="1:4">
      <c r="A11" s="10">
        <v>154.8</v>
      </c>
      <c r="B11" s="10">
        <v>62.9</v>
      </c>
      <c r="C11" s="10">
        <f>(B11-B8)/B8</f>
        <v>0.0345394736842106</v>
      </c>
      <c r="D11" s="10">
        <f>(A11*9.8/1000)/(C4)</f>
        <v>53043.3566433566</v>
      </c>
    </row>
    <row r="12" spans="1:4">
      <c r="A12" s="10">
        <v>204.8</v>
      </c>
      <c r="B12" s="10">
        <v>63.7</v>
      </c>
      <c r="C12" s="10">
        <f>(B12-B8)/B8</f>
        <v>0.0476973684210527</v>
      </c>
      <c r="D12" s="10">
        <f>(A12*9.8/1000)/(C4)</f>
        <v>70176.2237762238</v>
      </c>
    </row>
    <row r="13" spans="1:4">
      <c r="A13" s="10">
        <v>254.8</v>
      </c>
      <c r="B13" s="10">
        <v>64.2</v>
      </c>
      <c r="C13" s="10">
        <f>(B13-B8)/B8</f>
        <v>0.055921052631579</v>
      </c>
      <c r="D13" s="10">
        <f>(A13*9.8/1000)/(C4)</f>
        <v>87309.0909090909</v>
      </c>
    </row>
    <row r="14" spans="1:4">
      <c r="A14" s="10">
        <v>304.8</v>
      </c>
      <c r="B14" s="10">
        <v>64.9</v>
      </c>
      <c r="C14" s="10">
        <f>(B14-B8)/B8</f>
        <v>0.0674342105263159</v>
      </c>
      <c r="D14" s="10">
        <f>(A14*9.8/1000)/(C4)</f>
        <v>104441.958041958</v>
      </c>
    </row>
    <row r="15" spans="1:4">
      <c r="A15" s="10">
        <v>354.8</v>
      </c>
      <c r="B15" s="10">
        <v>65.2</v>
      </c>
      <c r="C15" s="10">
        <f>(B15-B8)/B8</f>
        <v>0.0723684210526317</v>
      </c>
      <c r="D15" s="10">
        <f>(A15*9.8/1000)/(C4)</f>
        <v>121574.825174825</v>
      </c>
    </row>
    <row r="16" spans="1:4">
      <c r="A16" s="10">
        <v>404.8</v>
      </c>
      <c r="B16" s="10">
        <v>66.3</v>
      </c>
      <c r="C16" s="10">
        <f>(B16-B8)/B8</f>
        <v>0.0904605263157895</v>
      </c>
      <c r="D16" s="10">
        <f>(A16*9.8/1000)/(C4)</f>
        <v>138707.692307692</v>
      </c>
    </row>
    <row r="17" spans="1:4">
      <c r="A17" s="10">
        <v>454.8</v>
      </c>
      <c r="B17" s="10">
        <v>67.2</v>
      </c>
      <c r="C17" s="10">
        <f>(B17-B8)/B8</f>
        <v>0.105263157894737</v>
      </c>
      <c r="D17" s="10">
        <f>(A17*9.8/1000)/(C4)</f>
        <v>155840.559440559</v>
      </c>
    </row>
    <row r="18" spans="1:4">
      <c r="A18" s="10">
        <v>504.8</v>
      </c>
      <c r="B18" s="10">
        <v>67.9</v>
      </c>
      <c r="C18" s="10">
        <f>(B18-B8)/B8</f>
        <v>0.116776315789474</v>
      </c>
      <c r="D18" s="10">
        <f>(A18*9.8/1000)/(C4)</f>
        <v>172973.426573427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1487418.76329999</v>
      </c>
    </row>
    <row r="22" spans="2:3">
      <c r="B22">
        <f>STEYX(D8:D18,C8:C18)</f>
        <v>5637.49621782757</v>
      </c>
      <c r="C22">
        <v>1490000</v>
      </c>
    </row>
    <row r="23" spans="2:3">
      <c r="B23">
        <f>1.96*B22</f>
        <v>11049.492586942</v>
      </c>
      <c r="C23">
        <v>10000</v>
      </c>
    </row>
  </sheetData>
  <pageMargins left="0.7" right="0.7" top="0.75" bottom="0.75" header="0.3" footer="0.3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D23"/>
  <sheetViews>
    <sheetView workbookViewId="0">
      <selection activeCell="C23" sqref="C23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45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69</v>
      </c>
      <c r="C8" s="10">
        <v>0</v>
      </c>
      <c r="D8" s="10">
        <v>0</v>
      </c>
    </row>
    <row r="9" spans="1:4">
      <c r="A9" s="10">
        <v>15.5</v>
      </c>
      <c r="B9" s="10">
        <v>69.8</v>
      </c>
      <c r="C9" s="10">
        <f>(B9-B8)/B8</f>
        <v>0.0115942028985507</v>
      </c>
      <c r="D9" s="10">
        <f>(A9*9.8/1000)/(C4)</f>
        <v>3894.87179487179</v>
      </c>
    </row>
    <row r="10" spans="1:4">
      <c r="A10" s="10">
        <v>65.5</v>
      </c>
      <c r="B10" s="10">
        <v>70.6</v>
      </c>
      <c r="C10" s="10">
        <f>(B10-B8)/B8</f>
        <v>0.0231884057971014</v>
      </c>
      <c r="D10" s="10">
        <f>(A10*9.8/1000)/(C4)</f>
        <v>16458.9743589744</v>
      </c>
    </row>
    <row r="11" spans="1:4">
      <c r="A11" s="10">
        <v>115.5</v>
      </c>
      <c r="B11" s="10">
        <v>71.5</v>
      </c>
      <c r="C11" s="10">
        <f>(B11-B8)/B8</f>
        <v>0.036231884057971</v>
      </c>
      <c r="D11" s="10">
        <f>(A11*9.8/1000)/(C4)</f>
        <v>29023.0769230769</v>
      </c>
    </row>
    <row r="12" spans="1:4">
      <c r="A12" s="10">
        <v>165.5</v>
      </c>
      <c r="B12" s="10">
        <v>72.1</v>
      </c>
      <c r="C12" s="10">
        <f>(B12-B8)/B8</f>
        <v>0.044927536231884</v>
      </c>
      <c r="D12" s="10">
        <f>(A12*9.8/1000)/(C4)</f>
        <v>41587.1794871795</v>
      </c>
    </row>
    <row r="13" spans="1:4">
      <c r="A13" s="10">
        <v>215.5</v>
      </c>
      <c r="B13" s="10">
        <v>73.5</v>
      </c>
      <c r="C13" s="10">
        <f>(B13-B8)/B8</f>
        <v>0.0652173913043478</v>
      </c>
      <c r="D13" s="10">
        <f>(A13*9.8/1000)/(C4)</f>
        <v>54151.282051282</v>
      </c>
    </row>
    <row r="14" spans="1:4">
      <c r="A14" s="10">
        <v>315.5</v>
      </c>
      <c r="B14" s="10">
        <v>75.3</v>
      </c>
      <c r="C14" s="10">
        <f>(B14-B8)/B8</f>
        <v>0.0913043478260869</v>
      </c>
      <c r="D14" s="10">
        <f>(A14*9.8/1000)/(C4)</f>
        <v>79279.4871794872</v>
      </c>
    </row>
    <row r="15" spans="1:4">
      <c r="A15" s="10">
        <v>365.5</v>
      </c>
      <c r="B15" s="10">
        <v>75.8</v>
      </c>
      <c r="C15" s="10">
        <f>(B15-B8)/B8</f>
        <v>0.0985507246376811</v>
      </c>
      <c r="D15" s="10">
        <f>(A15*9.8/1000)/(C4)</f>
        <v>91843.5897435897</v>
      </c>
    </row>
    <row r="16" spans="1:4">
      <c r="A16" s="10">
        <v>465.5</v>
      </c>
      <c r="B16" s="10">
        <v>76.2</v>
      </c>
      <c r="C16" s="10">
        <f>(B16-B8)/B8</f>
        <v>0.104347826086957</v>
      </c>
      <c r="D16" s="10">
        <f>(A16*9.8/1000)/(C4)</f>
        <v>116971.794871795</v>
      </c>
    </row>
    <row r="17" spans="1:4">
      <c r="A17" s="10">
        <v>565.5</v>
      </c>
      <c r="B17" s="10">
        <v>78.5</v>
      </c>
      <c r="C17" s="10">
        <f>(B17-B8)/B8</f>
        <v>0.13768115942029</v>
      </c>
      <c r="D17" s="10">
        <f>(A17*9.8/1000)/(C4)</f>
        <v>142100</v>
      </c>
    </row>
    <row r="18" spans="1:4">
      <c r="A18" s="10">
        <v>665.5</v>
      </c>
      <c r="B18" s="10">
        <v>79.2</v>
      </c>
      <c r="C18" s="10">
        <f>(B18-B8)/B8</f>
        <v>0.147826086956522</v>
      </c>
      <c r="D18" s="10">
        <f>(A18*9.8/1000)/(C4)</f>
        <v>167228.205128205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1115262.65929402</v>
      </c>
    </row>
    <row r="22" spans="2:3">
      <c r="B22">
        <f>STEYX(D8:D18,C8:C18)</f>
        <v>8611.49844271749</v>
      </c>
      <c r="C22">
        <v>1120000</v>
      </c>
    </row>
    <row r="23" spans="2:3">
      <c r="B23">
        <f>1.96*B22</f>
        <v>16878.5369477263</v>
      </c>
      <c r="C23">
        <v>20000</v>
      </c>
    </row>
  </sheetData>
  <pageMargins left="0.7" right="0.7" top="0.75" bottom="0.75" header="0.3" footer="0.3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K38"/>
  <sheetViews>
    <sheetView workbookViewId="0">
      <selection activeCell="C22" sqref="C22"/>
    </sheetView>
  </sheetViews>
  <sheetFormatPr defaultColWidth="9" defaultRowHeight="13.8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46</v>
      </c>
    </row>
    <row r="2" ht="14.4" spans="1:2">
      <c r="A2" s="3" t="s">
        <v>2</v>
      </c>
      <c r="B2" s="4"/>
    </row>
    <row r="3" spans="1:3">
      <c r="A3" s="5" t="s">
        <v>3</v>
      </c>
      <c r="B3" s="6">
        <v>13.2</v>
      </c>
      <c r="C3" s="7" t="s">
        <v>4</v>
      </c>
    </row>
    <row r="4" spans="1:3">
      <c r="A4" s="8" t="s">
        <v>5</v>
      </c>
      <c r="B4" s="9">
        <v>2.1</v>
      </c>
      <c r="C4" s="10">
        <f>(B3/1000)*(B4/1000)</f>
        <v>2.772e-5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73.5</v>
      </c>
      <c r="C8" s="10">
        <v>0</v>
      </c>
      <c r="D8" s="10">
        <v>0</v>
      </c>
    </row>
    <row r="9" spans="1:4">
      <c r="A9" s="10">
        <v>15.2</v>
      </c>
      <c r="B9" s="10">
        <v>75</v>
      </c>
      <c r="C9" s="10">
        <f>(B9-B8)/B8</f>
        <v>0.0204081632653061</v>
      </c>
      <c r="D9" s="10">
        <f>(A9*9.8/1000)/(C4)</f>
        <v>5373.73737373737</v>
      </c>
    </row>
    <row r="10" spans="1:4">
      <c r="A10" s="10">
        <v>215.2</v>
      </c>
      <c r="B10" s="10">
        <v>76.5</v>
      </c>
      <c r="C10" s="10">
        <f>(B10-B8)/B8</f>
        <v>0.0408163265306122</v>
      </c>
      <c r="D10" s="10">
        <f>(A10*9.8/1000)/(C4)</f>
        <v>76080.8080808081</v>
      </c>
    </row>
    <row r="11" spans="1:4">
      <c r="A11" s="10">
        <v>415.2</v>
      </c>
      <c r="B11" s="10">
        <v>79</v>
      </c>
      <c r="C11" s="10">
        <f>(B11-B8)/B8</f>
        <v>0.0748299319727891</v>
      </c>
      <c r="D11" s="10">
        <f>(A11*9.8/1000)/(C4)</f>
        <v>146787.878787879</v>
      </c>
    </row>
    <row r="12" spans="1:4">
      <c r="A12" s="10">
        <v>515.2</v>
      </c>
      <c r="B12" s="10">
        <v>81.5</v>
      </c>
      <c r="C12" s="10">
        <f>(B12-B8)/B8</f>
        <v>0.108843537414966</v>
      </c>
      <c r="D12" s="10">
        <f>(A12*9.8/1000)/(C4)</f>
        <v>182141.414141414</v>
      </c>
    </row>
    <row r="13" spans="1:4">
      <c r="A13" s="10">
        <v>565.2</v>
      </c>
      <c r="B13" s="10">
        <v>83.2</v>
      </c>
      <c r="C13" s="10">
        <f>(B13-B8)/B8</f>
        <v>0.131972789115646</v>
      </c>
      <c r="D13" s="10">
        <f>(A13*9.8/1000)/(C4)</f>
        <v>199818.181818182</v>
      </c>
    </row>
    <row r="14" spans="1:4">
      <c r="A14" s="10">
        <v>765.2</v>
      </c>
      <c r="B14" s="10">
        <v>86</v>
      </c>
      <c r="C14" s="10">
        <f>(B14-B8)/B8</f>
        <v>0.170068027210884</v>
      </c>
      <c r="D14" s="10">
        <f>(A14*9.8/1000)/(C4)</f>
        <v>270525.252525253</v>
      </c>
    </row>
    <row r="15" spans="1:4">
      <c r="A15" s="10">
        <v>965.2</v>
      </c>
      <c r="B15" s="10">
        <v>90</v>
      </c>
      <c r="C15" s="10">
        <f>(B15-B8)/B8</f>
        <v>0.224489795918367</v>
      </c>
      <c r="D15" s="10">
        <f>(A15*9.8/1000)/(C4)</f>
        <v>341232.323232323</v>
      </c>
    </row>
    <row r="16" spans="1:4">
      <c r="A16" s="10">
        <v>1165.2</v>
      </c>
      <c r="B16" s="10">
        <v>93</v>
      </c>
      <c r="C16" s="10">
        <f>(B16-B8)/B8</f>
        <v>0.26530612244898</v>
      </c>
      <c r="D16" s="10">
        <f>(A16*9.8/1000)/(C4)</f>
        <v>411939.393939394</v>
      </c>
    </row>
    <row r="17" spans="1:4">
      <c r="A17" s="10">
        <v>1265.2</v>
      </c>
      <c r="B17" s="10">
        <v>94</v>
      </c>
      <c r="C17" s="10">
        <f>(B17-B8)/B8</f>
        <v>0.27891156462585</v>
      </c>
      <c r="D17" s="10">
        <f>(A17*9.8/1000)/(C4)</f>
        <v>447292.929292929</v>
      </c>
    </row>
    <row r="18" spans="1:4">
      <c r="A18" s="10">
        <v>1465.2</v>
      </c>
      <c r="B18" s="10">
        <v>96</v>
      </c>
      <c r="C18" s="10">
        <f>(B18-B8)/B8</f>
        <v>0.306122448979592</v>
      </c>
      <c r="D18" s="10">
        <f>(A18*9.8/1000)/(C4)</f>
        <v>518000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1616227.16350169</v>
      </c>
    </row>
    <row r="22" spans="2:3">
      <c r="B22">
        <f>STEYX(D8:D18,C8:C18)</f>
        <v>18350.4652823272</v>
      </c>
      <c r="C22">
        <v>1620000</v>
      </c>
    </row>
    <row r="23" spans="2:3">
      <c r="B23">
        <f>1.96*B22</f>
        <v>35966.9119533612</v>
      </c>
      <c r="C23">
        <v>40000</v>
      </c>
    </row>
    <row r="25" spans="3:4">
      <c r="C25" s="24"/>
      <c r="D25" s="24"/>
    </row>
    <row r="33" spans="3:8">
      <c r="C33" s="25"/>
      <c r="D33" s="25"/>
      <c r="E33" s="25"/>
      <c r="F33" s="25"/>
      <c r="G33" s="25"/>
      <c r="H33" s="25"/>
    </row>
    <row r="38" spans="3:11">
      <c r="C38" s="25"/>
      <c r="D38" s="25"/>
      <c r="E38" s="25"/>
      <c r="F38" s="25"/>
      <c r="G38" s="25"/>
      <c r="H38" s="25"/>
      <c r="I38" s="25"/>
      <c r="J38" s="25"/>
      <c r="K38" s="25"/>
    </row>
  </sheetData>
  <pageMargins left="0.7" right="0.7" top="0.75" bottom="0.75" header="0.3" footer="0.3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D23"/>
  <sheetViews>
    <sheetView workbookViewId="0">
      <selection activeCell="C22" sqref="C2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47</v>
      </c>
    </row>
    <row r="2" ht="14.4" spans="1:2">
      <c r="A2" s="3" t="s">
        <v>2</v>
      </c>
      <c r="B2" s="4"/>
    </row>
    <row r="3" spans="1:3">
      <c r="A3" s="5" t="s">
        <v>3</v>
      </c>
      <c r="B3" s="6">
        <v>13.2</v>
      </c>
      <c r="C3" s="7" t="s">
        <v>4</v>
      </c>
    </row>
    <row r="4" spans="1:3">
      <c r="A4" s="8" t="s">
        <v>5</v>
      </c>
      <c r="B4" s="9">
        <v>2.9</v>
      </c>
      <c r="C4" s="10">
        <f>(B3/1000)*(B4/1000)</f>
        <v>3.828e-5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79</v>
      </c>
      <c r="C8" s="10">
        <v>0</v>
      </c>
      <c r="D8" s="10">
        <v>0</v>
      </c>
    </row>
    <row r="9" spans="1:4">
      <c r="A9" s="10">
        <v>15.1</v>
      </c>
      <c r="B9" s="10">
        <v>80.9</v>
      </c>
      <c r="C9" s="10">
        <f>(B9-B8)/B8</f>
        <v>0.0240506329113925</v>
      </c>
      <c r="D9" s="10">
        <f>(A9*9.8/1000)/(C4)</f>
        <v>3865.72622779519</v>
      </c>
    </row>
    <row r="10" spans="1:4">
      <c r="A10" s="10">
        <v>115.1</v>
      </c>
      <c r="B10" s="10">
        <v>83</v>
      </c>
      <c r="C10" s="10">
        <f>(B10-B8)/B8</f>
        <v>0.0506329113924051</v>
      </c>
      <c r="D10" s="10">
        <f>(A10*9.8/1000)/(C4)</f>
        <v>29466.5621734587</v>
      </c>
    </row>
    <row r="11" spans="1:4">
      <c r="A11" s="10">
        <v>215.1</v>
      </c>
      <c r="B11" s="10">
        <v>85.6</v>
      </c>
      <c r="C11" s="10">
        <f>(B11-B8)/B8</f>
        <v>0.0835443037974683</v>
      </c>
      <c r="D11" s="10">
        <f>(A11*9.8/1000)/(C4)</f>
        <v>55067.3981191223</v>
      </c>
    </row>
    <row r="12" spans="1:4">
      <c r="A12" s="10">
        <v>315.1</v>
      </c>
      <c r="B12" s="10">
        <v>87.3</v>
      </c>
      <c r="C12" s="10">
        <f>(B12-B8)/B8</f>
        <v>0.10506329113924</v>
      </c>
      <c r="D12" s="10">
        <f>(A12*9.8/1000)/(C4)</f>
        <v>80668.2340647858</v>
      </c>
    </row>
    <row r="13" spans="1:4">
      <c r="A13" s="10">
        <v>415.1</v>
      </c>
      <c r="B13" s="10">
        <v>88.8</v>
      </c>
      <c r="C13" s="10">
        <f>(B13-B8)/B8</f>
        <v>0.124050632911392</v>
      </c>
      <c r="D13" s="10">
        <f>(A13*9.8/1000)/(C4)</f>
        <v>106269.070010449</v>
      </c>
    </row>
    <row r="14" spans="1:4">
      <c r="A14" s="10">
        <v>515.1</v>
      </c>
      <c r="B14" s="10">
        <v>90.6</v>
      </c>
      <c r="C14" s="10">
        <f>(B14-B8)/B8</f>
        <v>0.146835443037975</v>
      </c>
      <c r="D14" s="10">
        <f>(A14*9.8/1000)/(C4)</f>
        <v>131869.905956113</v>
      </c>
    </row>
    <row r="15" spans="1:4">
      <c r="A15" s="10">
        <v>615.1</v>
      </c>
      <c r="B15" s="10">
        <v>92.8</v>
      </c>
      <c r="C15" s="10">
        <f>(B15-B8)/B8</f>
        <v>0.174683544303797</v>
      </c>
      <c r="D15" s="10">
        <f>(A15*9.8/1000)/(C4)</f>
        <v>157470.741901776</v>
      </c>
    </row>
    <row r="16" spans="1:4">
      <c r="A16" s="10">
        <v>715.1</v>
      </c>
      <c r="B16" s="10">
        <v>93</v>
      </c>
      <c r="C16" s="10">
        <f>(B16-B8)/B8</f>
        <v>0.177215189873418</v>
      </c>
      <c r="D16" s="10">
        <f>(A16*9.8/1000)/(C4)</f>
        <v>183071.57784744</v>
      </c>
    </row>
    <row r="17" spans="1:4">
      <c r="A17" s="10">
        <v>915.1</v>
      </c>
      <c r="B17" s="10">
        <v>102.5</v>
      </c>
      <c r="C17" s="10">
        <f>(B17-B8)/B8</f>
        <v>0.29746835443038</v>
      </c>
      <c r="D17" s="10">
        <f>(A17*9.8/1000)/(C4)</f>
        <v>234273.249738767</v>
      </c>
    </row>
    <row r="18" spans="1:4">
      <c r="A18" s="10">
        <v>1115.2</v>
      </c>
      <c r="B18" s="10">
        <v>107</v>
      </c>
      <c r="C18" s="10">
        <f>(B18-B8)/B8</f>
        <v>0.354430379746835</v>
      </c>
      <c r="D18" s="10">
        <f>(A18*9.8/1000)/(C4)</f>
        <v>285500.52246604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846457.913541334</v>
      </c>
    </row>
    <row r="22" spans="2:3">
      <c r="B22">
        <f>STEYX(D8:D18,C8:C18)</f>
        <v>16397.2004446766</v>
      </c>
      <c r="C22">
        <v>850000</v>
      </c>
    </row>
    <row r="23" spans="2:3">
      <c r="B23">
        <f>1.96*B22</f>
        <v>32138.5128715661</v>
      </c>
      <c r="C23">
        <v>30000</v>
      </c>
    </row>
  </sheetData>
  <pageMargins left="0.7" right="0.7" top="0.75" bottom="0.75" header="0.3" footer="0.3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E23"/>
  <sheetViews>
    <sheetView workbookViewId="0">
      <selection activeCell="B23" sqref="B23"/>
    </sheetView>
  </sheetViews>
  <sheetFormatPr defaultColWidth="9" defaultRowHeight="13.8" outlineLevelCol="4"/>
  <cols>
    <col min="1" max="1" width="18.5555555555556" customWidth="1"/>
    <col min="2" max="2" width="21" customWidth="1"/>
    <col min="3" max="3" width="24" customWidth="1"/>
    <col min="4" max="4" width="28.3333333333333" customWidth="1"/>
    <col min="5" max="5" width="12" customWidth="1"/>
    <col min="9" max="11" width="12" customWidth="1"/>
  </cols>
  <sheetData>
    <row r="1" ht="14.4" spans="1:2">
      <c r="A1" s="1" t="s">
        <v>0</v>
      </c>
      <c r="B1" s="2" t="s">
        <v>48</v>
      </c>
    </row>
    <row r="2" ht="14.4" spans="1:5">
      <c r="A2" s="3" t="s">
        <v>2</v>
      </c>
      <c r="B2" s="4"/>
      <c r="E2" s="23"/>
    </row>
    <row r="3" spans="1:5">
      <c r="A3" s="5" t="s">
        <v>3</v>
      </c>
      <c r="B3" s="6">
        <v>13</v>
      </c>
      <c r="C3" s="7" t="s">
        <v>4</v>
      </c>
      <c r="E3" s="23"/>
    </row>
    <row r="4" spans="1:3">
      <c r="A4" s="8" t="s">
        <v>5</v>
      </c>
      <c r="B4" s="9">
        <v>1.9</v>
      </c>
      <c r="C4" s="10">
        <f>(B3/1000)*(B4/1000)</f>
        <v>2.47e-5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76.4</v>
      </c>
      <c r="C8" s="10">
        <v>0</v>
      </c>
      <c r="D8" s="10">
        <v>0</v>
      </c>
    </row>
    <row r="9" spans="1:4">
      <c r="A9" s="10">
        <v>15.2</v>
      </c>
      <c r="B9" s="10">
        <v>78.3</v>
      </c>
      <c r="C9" s="10">
        <f>(B9-B8)/B8</f>
        <v>0.0248691099476439</v>
      </c>
      <c r="D9" s="10">
        <f>(A9*9.8/1000)/(C4)</f>
        <v>6030.76923076923</v>
      </c>
    </row>
    <row r="10" spans="1:4">
      <c r="A10" s="10">
        <v>215.2</v>
      </c>
      <c r="B10" s="10">
        <v>84</v>
      </c>
      <c r="C10" s="10">
        <f>(B10-B8)/B8</f>
        <v>0.0994764397905758</v>
      </c>
      <c r="D10" s="10">
        <f>(A10*9.8/1000)/(C4)</f>
        <v>85382.995951417</v>
      </c>
    </row>
    <row r="11" spans="1:4">
      <c r="A11" s="10">
        <v>415.2</v>
      </c>
      <c r="B11" s="10">
        <v>89</v>
      </c>
      <c r="C11" s="10">
        <f>(B11-B8)/B8</f>
        <v>0.164921465968586</v>
      </c>
      <c r="D11" s="10">
        <f>(A11*9.8/1000)/(C4)</f>
        <v>164735.222672065</v>
      </c>
    </row>
    <row r="12" spans="1:4">
      <c r="A12" s="10">
        <v>615.2</v>
      </c>
      <c r="B12" s="10">
        <v>94</v>
      </c>
      <c r="C12" s="10">
        <f>(B12-B8)/B8</f>
        <v>0.230366492146597</v>
      </c>
      <c r="D12" s="10">
        <f>(A12*9.8/1000)/(C4)</f>
        <v>244087.449392713</v>
      </c>
    </row>
    <row r="13" spans="1:4">
      <c r="A13" s="10">
        <v>715.2</v>
      </c>
      <c r="B13" s="10">
        <v>99</v>
      </c>
      <c r="C13" s="10">
        <f>(B13-B8)/B8</f>
        <v>0.295811518324607</v>
      </c>
      <c r="D13" s="10">
        <f>(A13*9.8/1000)/(C4)</f>
        <v>283763.562753037</v>
      </c>
    </row>
    <row r="14" spans="1:4">
      <c r="A14" s="10">
        <v>915.2</v>
      </c>
      <c r="B14" s="10">
        <v>104</v>
      </c>
      <c r="C14" s="10">
        <f>(B14-B8)/B8</f>
        <v>0.361256544502618</v>
      </c>
      <c r="D14" s="10">
        <f>(A14*9.8/1000)/(C4)</f>
        <v>363115.789473684</v>
      </c>
    </row>
    <row r="15" spans="1:4">
      <c r="A15" s="10">
        <v>1115.2</v>
      </c>
      <c r="B15" s="10">
        <v>109.7</v>
      </c>
      <c r="C15" s="10">
        <f>(B15-B8)/B8</f>
        <v>0.43586387434555</v>
      </c>
      <c r="D15" s="10">
        <f>(A15*9.8/1000)/(C4)</f>
        <v>442468.016194332</v>
      </c>
    </row>
    <row r="16" spans="1:4">
      <c r="A16" s="10">
        <v>1215.2</v>
      </c>
      <c r="B16" s="10">
        <v>112.1</v>
      </c>
      <c r="C16" s="10">
        <f>(B16-B8)/B8</f>
        <v>0.467277486910995</v>
      </c>
      <c r="D16" s="10">
        <f>(A16*9.8/1000)/(C4)</f>
        <v>482144.129554656</v>
      </c>
    </row>
    <row r="17" spans="1:4">
      <c r="A17" s="10">
        <v>1315.2</v>
      </c>
      <c r="B17" s="10">
        <v>114.1</v>
      </c>
      <c r="C17" s="10">
        <f>(B17-B8)/B8</f>
        <v>0.493455497382199</v>
      </c>
      <c r="D17" s="10">
        <f>(A17*9.8/1000)/(C4)</f>
        <v>521820.24291498</v>
      </c>
    </row>
    <row r="18" spans="1:4">
      <c r="A18" s="10">
        <v>1365.2</v>
      </c>
      <c r="B18" s="10">
        <v>115.6</v>
      </c>
      <c r="C18" s="10">
        <f>(B18-B8)/B8</f>
        <v>0.513089005235602</v>
      </c>
      <c r="D18" s="10">
        <f>(A18*9.8/1000)/(C4)</f>
        <v>541658.299595142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1064684.74298839</v>
      </c>
    </row>
    <row r="22" spans="2:3">
      <c r="B22">
        <f>STEYX(D8:D18,C8:C18)</f>
        <v>10861.0938731448</v>
      </c>
      <c r="C22">
        <v>1060000</v>
      </c>
    </row>
    <row r="23" spans="2:3">
      <c r="B23">
        <f>1.96*B22</f>
        <v>21287.7439913638</v>
      </c>
      <c r="C23">
        <v>20000</v>
      </c>
    </row>
  </sheetData>
  <pageMargins left="0.7" right="0.7" top="0.75" bottom="0.75" header="0.3" footer="0.3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/>
  <dimension ref="A1:D23"/>
  <sheetViews>
    <sheetView workbookViewId="0">
      <selection activeCell="C4" sqref="C4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49</v>
      </c>
    </row>
    <row r="2" ht="14.4" spans="1:2">
      <c r="A2" s="3" t="s">
        <v>2</v>
      </c>
      <c r="B2" s="4"/>
    </row>
    <row r="3" spans="1:3">
      <c r="A3" s="5" t="s">
        <v>3</v>
      </c>
      <c r="B3" s="6">
        <v>8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2.4e-5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81</v>
      </c>
      <c r="C8" s="10">
        <v>0</v>
      </c>
      <c r="D8" s="10">
        <v>0</v>
      </c>
    </row>
    <row r="9" spans="1:4">
      <c r="A9" s="10">
        <v>15.4</v>
      </c>
      <c r="B9" s="10">
        <v>82</v>
      </c>
      <c r="C9" s="10">
        <f>(B9-B8)/B8</f>
        <v>0.0123456790123457</v>
      </c>
      <c r="D9" s="10">
        <f>(A9*9.8/1000)/(C4)</f>
        <v>6288.33333333333</v>
      </c>
    </row>
    <row r="10" spans="1:4">
      <c r="A10" s="10">
        <v>115.4</v>
      </c>
      <c r="B10" s="10">
        <v>85</v>
      </c>
      <c r="C10" s="10">
        <f>(B10-B8)/B8</f>
        <v>0.0493827160493827</v>
      </c>
      <c r="D10" s="10">
        <f>(A10*9.8/1000)/(C4)</f>
        <v>47121.6666666667</v>
      </c>
    </row>
    <row r="11" spans="1:4">
      <c r="A11" s="10">
        <v>165.4</v>
      </c>
      <c r="B11" s="10">
        <v>86</v>
      </c>
      <c r="C11" s="10">
        <f>(B11-B8)/B8</f>
        <v>0.0617283950617284</v>
      </c>
      <c r="D11" s="10">
        <f>(A11*9.8/1000)/(C4)</f>
        <v>67538.3333333333</v>
      </c>
    </row>
    <row r="12" spans="1:4">
      <c r="A12" s="10">
        <v>215.4</v>
      </c>
      <c r="B12" s="10">
        <v>88</v>
      </c>
      <c r="C12" s="10">
        <f>(B12-B8)/B8</f>
        <v>0.0864197530864197</v>
      </c>
      <c r="D12" s="10">
        <f>(A12*9.8/1000)/(C4)</f>
        <v>87955</v>
      </c>
    </row>
    <row r="13" spans="1:4">
      <c r="A13" s="10">
        <v>315.4</v>
      </c>
      <c r="B13" s="10">
        <v>92</v>
      </c>
      <c r="C13" s="10">
        <f>(B13-B8)/B8</f>
        <v>0.135802469135802</v>
      </c>
      <c r="D13" s="10">
        <f>(A13*9.8/1000)/(C4)</f>
        <v>128788.333333333</v>
      </c>
    </row>
    <row r="14" spans="1:4">
      <c r="A14" s="10">
        <v>415.4</v>
      </c>
      <c r="B14" s="10">
        <v>97</v>
      </c>
      <c r="C14" s="10">
        <f>(B14-B8)/B8</f>
        <v>0.197530864197531</v>
      </c>
      <c r="D14" s="10">
        <f>(A14*9.8/1000)/(C4)</f>
        <v>169621.666666667</v>
      </c>
    </row>
    <row r="15" spans="1:4">
      <c r="A15" s="10">
        <v>515.4</v>
      </c>
      <c r="B15" s="10">
        <v>99</v>
      </c>
      <c r="C15" s="10">
        <f>(B15-B8)/B8</f>
        <v>0.222222222222222</v>
      </c>
      <c r="D15" s="10">
        <f>(A15*9.8/1000)/(C4)</f>
        <v>210455</v>
      </c>
    </row>
    <row r="16" spans="1:4">
      <c r="A16" s="10">
        <v>615.4</v>
      </c>
      <c r="B16" s="10">
        <v>102</v>
      </c>
      <c r="C16" s="10">
        <f>(B16-B8)/B8</f>
        <v>0.259259259259259</v>
      </c>
      <c r="D16" s="10">
        <f>(A16*9.8/1000)/(C4)</f>
        <v>251288.333333333</v>
      </c>
    </row>
    <row r="17" spans="1:4">
      <c r="A17" s="10">
        <v>665.4</v>
      </c>
      <c r="B17" s="10">
        <v>104</v>
      </c>
      <c r="C17" s="10">
        <f>(B17-B8)/B8</f>
        <v>0.283950617283951</v>
      </c>
      <c r="D17" s="10">
        <f>(A17*9.8/1000)/(C4)</f>
        <v>271705</v>
      </c>
    </row>
    <row r="18" spans="1:4">
      <c r="A18" s="10">
        <v>715.4</v>
      </c>
      <c r="B18" s="10">
        <v>108</v>
      </c>
      <c r="C18" s="10">
        <f>(B18-B8)/B8</f>
        <v>0.333333333333333</v>
      </c>
      <c r="D18" s="10">
        <f>(A18*9.8/1000)/(C4)</f>
        <v>292121.666666667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912519.225185338</v>
      </c>
    </row>
    <row r="22" spans="2:3">
      <c r="B22">
        <f>STEYX(D8:D18,C8:C18)</f>
        <v>9687.56062664196</v>
      </c>
      <c r="C22">
        <v>910000</v>
      </c>
    </row>
    <row r="23" spans="2:3">
      <c r="B23">
        <f>1.96*B22</f>
        <v>18987.6188282182</v>
      </c>
      <c r="C23">
        <v>20000</v>
      </c>
    </row>
  </sheetData>
  <pageMargins left="0.7" right="0.7" top="0.75" bottom="0.75" header="0.3" footer="0.3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D23"/>
  <sheetViews>
    <sheetView workbookViewId="0">
      <selection activeCell="C23" sqref="C23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50</v>
      </c>
    </row>
    <row r="2" ht="14.4" spans="1:2">
      <c r="A2" s="3" t="s">
        <v>2</v>
      </c>
      <c r="B2" s="4"/>
    </row>
    <row r="3" spans="1:3">
      <c r="A3" s="5" t="s">
        <v>3</v>
      </c>
      <c r="B3" s="6">
        <v>14</v>
      </c>
      <c r="C3" s="7" t="s">
        <v>4</v>
      </c>
    </row>
    <row r="4" spans="1:3">
      <c r="A4" s="8" t="s">
        <v>5</v>
      </c>
      <c r="B4" s="9">
        <v>2</v>
      </c>
      <c r="C4" s="10">
        <f>(B3/1000)*(B4/1000)</f>
        <v>2.8e-5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1">
        <v>0</v>
      </c>
      <c r="B8" s="21">
        <v>72</v>
      </c>
      <c r="C8" s="10">
        <v>0</v>
      </c>
      <c r="D8" s="10">
        <v>0</v>
      </c>
    </row>
    <row r="9" spans="1:4">
      <c r="A9" s="22">
        <v>5</v>
      </c>
      <c r="B9" s="22">
        <v>72</v>
      </c>
      <c r="C9" s="10">
        <f>(B9-B8)/B8</f>
        <v>0</v>
      </c>
      <c r="D9" s="10">
        <f>(A9*9.8/1000)/(C4)</f>
        <v>1750</v>
      </c>
    </row>
    <row r="10" spans="1:4">
      <c r="A10" s="22">
        <v>55</v>
      </c>
      <c r="B10" s="22">
        <v>73.5</v>
      </c>
      <c r="C10" s="10">
        <f>(B10-B8)/B8</f>
        <v>0.0208333333333333</v>
      </c>
      <c r="D10" s="10">
        <f>(A10*9.8/1000)/(C4)</f>
        <v>19250</v>
      </c>
    </row>
    <row r="11" spans="1:4">
      <c r="A11" s="22">
        <v>105</v>
      </c>
      <c r="B11" s="22">
        <v>75</v>
      </c>
      <c r="C11" s="10">
        <f>(B11-B8)/B8</f>
        <v>0.0416666666666667</v>
      </c>
      <c r="D11" s="10">
        <f>(A11*9.8/1000)/(C4)</f>
        <v>36750</v>
      </c>
    </row>
    <row r="12" spans="1:4">
      <c r="A12" s="22">
        <v>155</v>
      </c>
      <c r="B12" s="22">
        <v>77</v>
      </c>
      <c r="C12" s="10">
        <f>(B12-B8)/B8</f>
        <v>0.0694444444444444</v>
      </c>
      <c r="D12" s="10">
        <f>(A12*9.8/1000)/(C4)</f>
        <v>54250</v>
      </c>
    </row>
    <row r="13" spans="1:4">
      <c r="A13" s="22">
        <v>205</v>
      </c>
      <c r="B13" s="22">
        <v>80</v>
      </c>
      <c r="C13" s="10">
        <f>(B13-B8)/B8</f>
        <v>0.111111111111111</v>
      </c>
      <c r="D13" s="10">
        <f>(A13*9.8/1000)/(C4)</f>
        <v>71750</v>
      </c>
    </row>
    <row r="14" spans="1:4">
      <c r="A14" s="22">
        <v>255</v>
      </c>
      <c r="B14" s="22">
        <v>82</v>
      </c>
      <c r="C14" s="10">
        <f>(B14-B8)/B8</f>
        <v>0.138888888888889</v>
      </c>
      <c r="D14" s="10">
        <f>(A14*9.8/1000)/(C4)</f>
        <v>89250</v>
      </c>
    </row>
    <row r="15" spans="1:4">
      <c r="A15" s="22">
        <v>305</v>
      </c>
      <c r="B15" s="22">
        <v>83.5</v>
      </c>
      <c r="C15" s="10">
        <f>(B15-B8)/B8</f>
        <v>0.159722222222222</v>
      </c>
      <c r="D15" s="10">
        <f>(A15*9.8/1000)/(C4)</f>
        <v>106750</v>
      </c>
    </row>
    <row r="16" spans="1:4">
      <c r="A16" s="22">
        <v>355</v>
      </c>
      <c r="B16" s="22">
        <v>86</v>
      </c>
      <c r="C16" s="10">
        <f>(B16-B8)/B8</f>
        <v>0.194444444444444</v>
      </c>
      <c r="D16" s="10">
        <f>(A16*9.8/1000)/(C4)</f>
        <v>124250</v>
      </c>
    </row>
    <row r="17" spans="1:4">
      <c r="A17" s="22">
        <v>405</v>
      </c>
      <c r="B17" s="22">
        <v>88</v>
      </c>
      <c r="C17" s="10">
        <f>(B17-B8)/B8</f>
        <v>0.222222222222222</v>
      </c>
      <c r="D17" s="10">
        <f>(A17*9.8/1000)/(C4)</f>
        <v>141750</v>
      </c>
    </row>
    <row r="18" spans="1:4">
      <c r="A18" s="22">
        <v>455</v>
      </c>
      <c r="B18" s="22">
        <v>90</v>
      </c>
      <c r="C18" s="10">
        <f>(B18-B8)/B8</f>
        <v>0.25</v>
      </c>
      <c r="D18" s="10">
        <f>(A18*9.8/1000)/(C4)</f>
        <v>159250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618542.977619202</v>
      </c>
    </row>
    <row r="22" spans="2:3">
      <c r="B22">
        <f>STEYX(D8:D18,C8:C18)</f>
        <v>3789.68551223471</v>
      </c>
      <c r="C22">
        <v>620000</v>
      </c>
    </row>
    <row r="23" spans="2:3">
      <c r="B23">
        <f>1.96*B22</f>
        <v>7427.78360398003</v>
      </c>
      <c r="C23">
        <v>10000</v>
      </c>
    </row>
  </sheetData>
  <pageMargins left="0.7" right="0.7" top="0.75" bottom="0.75" header="0.3" footer="0.3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/>
  <dimension ref="A1:D23"/>
  <sheetViews>
    <sheetView workbookViewId="0">
      <selection activeCell="D18" sqref="D18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51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7">
        <v>5</v>
      </c>
      <c r="B8" s="17">
        <v>71</v>
      </c>
      <c r="C8" s="10">
        <v>0</v>
      </c>
      <c r="D8" s="10">
        <v>0</v>
      </c>
    </row>
    <row r="9" spans="1:4">
      <c r="A9" s="18">
        <v>105</v>
      </c>
      <c r="B9" s="18">
        <v>71.5</v>
      </c>
      <c r="C9" s="10">
        <f>(B9-B8)/B8</f>
        <v>0.00704225352112676</v>
      </c>
      <c r="D9" s="10">
        <f>(A9*9.8/1000)/(C4)</f>
        <v>26384.6153846154</v>
      </c>
    </row>
    <row r="10" spans="1:4">
      <c r="A10" s="17">
        <v>205</v>
      </c>
      <c r="B10" s="18">
        <v>72.5</v>
      </c>
      <c r="C10" s="10">
        <f>(B10-B8)/B8</f>
        <v>0.0211267605633803</v>
      </c>
      <c r="D10" s="10">
        <f>(A10*9.8/1000)/(C4)</f>
        <v>51512.8205128205</v>
      </c>
    </row>
    <row r="11" spans="1:4">
      <c r="A11" s="18">
        <v>305</v>
      </c>
      <c r="B11" s="18">
        <v>73</v>
      </c>
      <c r="C11" s="10">
        <f>(B11-B8)/B8</f>
        <v>0.028169014084507</v>
      </c>
      <c r="D11" s="10">
        <f>(A11*9.8/1000)/(C4)</f>
        <v>76641.0256410256</v>
      </c>
    </row>
    <row r="12" spans="1:4">
      <c r="A12" s="17">
        <v>405</v>
      </c>
      <c r="B12" s="18">
        <v>74.5</v>
      </c>
      <c r="C12" s="10">
        <f>(B12-B8)/B8</f>
        <v>0.0492957746478873</v>
      </c>
      <c r="D12" s="10">
        <f>(A12*9.8/1000)/(C4)</f>
        <v>101769.230769231</v>
      </c>
    </row>
    <row r="13" spans="1:4">
      <c r="A13" s="18">
        <v>505</v>
      </c>
      <c r="B13" s="18">
        <v>76.5</v>
      </c>
      <c r="C13" s="10">
        <f>(B13-B8)/B8</f>
        <v>0.0774647887323944</v>
      </c>
      <c r="D13" s="10">
        <f>(A13*9.8/1000)/(C4)</f>
        <v>126897.435897436</v>
      </c>
    </row>
    <row r="14" spans="1:4">
      <c r="A14" s="17">
        <v>605</v>
      </c>
      <c r="B14" s="18">
        <v>78</v>
      </c>
      <c r="C14" s="10">
        <f>(B14-B8)/B8</f>
        <v>0.0985915492957746</v>
      </c>
      <c r="D14" s="10">
        <f>(A14*9.8/1000)/(C4)</f>
        <v>152025.641025641</v>
      </c>
    </row>
    <row r="15" spans="1:4">
      <c r="A15" s="18">
        <v>705</v>
      </c>
      <c r="B15" s="18">
        <v>80</v>
      </c>
      <c r="C15" s="10">
        <f>(B15-B8)/B8</f>
        <v>0.126760563380282</v>
      </c>
      <c r="D15" s="10">
        <f>(A15*9.8/1000)/(C4)</f>
        <v>177153.846153846</v>
      </c>
    </row>
    <row r="16" spans="1:4">
      <c r="A16" s="17">
        <v>805</v>
      </c>
      <c r="B16" s="18">
        <v>81.5</v>
      </c>
      <c r="C16" s="10">
        <f>(B16-B8)/B8</f>
        <v>0.147887323943662</v>
      </c>
      <c r="D16" s="10">
        <f>(A16*9.8/1000)/(C4)</f>
        <v>202282.051282051</v>
      </c>
    </row>
    <row r="17" spans="1:4">
      <c r="A17" s="18">
        <v>905</v>
      </c>
      <c r="B17" s="18">
        <v>83.5</v>
      </c>
      <c r="C17" s="10">
        <f>(B17-B8)/B8</f>
        <v>0.176056338028169</v>
      </c>
      <c r="D17" s="10">
        <f>(A17*9.8/1000)/(C4)</f>
        <v>227410.256410256</v>
      </c>
    </row>
    <row r="18" spans="1:4">
      <c r="A18" s="17">
        <v>1005</v>
      </c>
      <c r="B18" s="18">
        <v>84</v>
      </c>
      <c r="C18" s="10">
        <f>(B18-B8)/B8</f>
        <v>0.183098591549296</v>
      </c>
      <c r="D18" s="10">
        <f>(A18*9.8/1000)/(C4)</f>
        <v>252538.461538462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1221841.00439575</v>
      </c>
    </row>
    <row r="22" spans="2:3">
      <c r="B22">
        <f>STEYX(D8:D18,C8:C18)</f>
        <v>13073.6460248498</v>
      </c>
      <c r="C22">
        <v>1220000</v>
      </c>
    </row>
    <row r="23" spans="2:3">
      <c r="B23">
        <f>1.96*B22</f>
        <v>25624.3462087055</v>
      </c>
      <c r="C23">
        <v>30000</v>
      </c>
    </row>
  </sheetData>
  <pageMargins left="0.7" right="0.7" top="0.75" bottom="0.75" header="0.3" footer="0.3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1:D23"/>
  <sheetViews>
    <sheetView workbookViewId="0">
      <selection activeCell="C22" sqref="C2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52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7">
        <v>5</v>
      </c>
      <c r="B8" s="17">
        <v>72</v>
      </c>
      <c r="C8" s="10">
        <v>0</v>
      </c>
      <c r="D8" s="10">
        <v>0</v>
      </c>
    </row>
    <row r="9" spans="1:4">
      <c r="A9" s="18">
        <v>105</v>
      </c>
      <c r="B9" s="18">
        <v>74</v>
      </c>
      <c r="C9" s="10">
        <f>(B9-B8)/B8</f>
        <v>0.0277777777777778</v>
      </c>
      <c r="D9" s="10">
        <f>(A9*9.8/1000)/(C4)</f>
        <v>26384.6153846154</v>
      </c>
    </row>
    <row r="10" spans="1:4">
      <c r="A10" s="18">
        <v>205</v>
      </c>
      <c r="B10" s="18">
        <v>76</v>
      </c>
      <c r="C10" s="10">
        <f>(B10-B8)/B8</f>
        <v>0.0555555555555556</v>
      </c>
      <c r="D10" s="10">
        <f>(A10*9.8/1000)/(C4)</f>
        <v>51512.8205128205</v>
      </c>
    </row>
    <row r="11" spans="1:4">
      <c r="A11" s="18">
        <v>305</v>
      </c>
      <c r="B11" s="18">
        <v>77</v>
      </c>
      <c r="C11" s="10">
        <f>(B11-B8)/B8</f>
        <v>0.0694444444444444</v>
      </c>
      <c r="D11" s="10">
        <f>(A11*9.8/1000)/(C4)</f>
        <v>76641.0256410256</v>
      </c>
    </row>
    <row r="12" spans="1:4">
      <c r="A12" s="18">
        <v>405</v>
      </c>
      <c r="B12" s="18">
        <v>79</v>
      </c>
      <c r="C12" s="10">
        <f>(B12-B8)/B8</f>
        <v>0.0972222222222222</v>
      </c>
      <c r="D12" s="10">
        <f>(A12*9.8/1000)/(C4)</f>
        <v>101769.230769231</v>
      </c>
    </row>
    <row r="13" spans="1:4">
      <c r="A13" s="18">
        <v>505</v>
      </c>
      <c r="B13" s="18">
        <v>81</v>
      </c>
      <c r="C13" s="10">
        <f>(B13-B8)/B8</f>
        <v>0.125</v>
      </c>
      <c r="D13" s="10">
        <f>(A13*9.8/1000)/(C4)</f>
        <v>126897.435897436</v>
      </c>
    </row>
    <row r="14" spans="1:4">
      <c r="A14" s="18">
        <v>605</v>
      </c>
      <c r="B14" s="18">
        <v>82.5</v>
      </c>
      <c r="C14" s="10">
        <f>(B14-B8)/B8</f>
        <v>0.145833333333333</v>
      </c>
      <c r="D14" s="10">
        <f>(A14*9.8/1000)/(C4)</f>
        <v>152025.641025641</v>
      </c>
    </row>
    <row r="15" spans="1:4">
      <c r="A15" s="18">
        <v>705</v>
      </c>
      <c r="B15" s="18">
        <v>84</v>
      </c>
      <c r="C15" s="10">
        <f>(B15-B8)/B8</f>
        <v>0.166666666666667</v>
      </c>
      <c r="D15" s="10">
        <f>(A15*9.8/1000)/(C4)</f>
        <v>177153.846153846</v>
      </c>
    </row>
    <row r="16" spans="1:4">
      <c r="A16" s="18">
        <v>804.7</v>
      </c>
      <c r="B16" s="18">
        <v>86</v>
      </c>
      <c r="C16" s="10">
        <f>(B16-B8)/B8</f>
        <v>0.194444444444444</v>
      </c>
      <c r="D16" s="10">
        <f>(A16*9.8/1000)/(C4)</f>
        <v>202206.666666667</v>
      </c>
    </row>
    <row r="17" spans="1:4">
      <c r="A17" s="18">
        <v>904.7</v>
      </c>
      <c r="B17" s="18">
        <v>87</v>
      </c>
      <c r="C17" s="10">
        <f>(B17-B8)/B8</f>
        <v>0.208333333333333</v>
      </c>
      <c r="D17" s="10">
        <f>(A17*9.8/1000)/(C4)</f>
        <v>227334.871794872</v>
      </c>
    </row>
    <row r="18" spans="1:4">
      <c r="A18" s="18">
        <v>1002.5</v>
      </c>
      <c r="B18" s="18">
        <v>93</v>
      </c>
      <c r="C18" s="10">
        <f>(B18-B8)/B8</f>
        <v>0.291666666666667</v>
      </c>
      <c r="D18" s="10">
        <f>(A18*9.8/1000)/(C4)</f>
        <v>251910.256410256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946268.471995066</v>
      </c>
    </row>
    <row r="22" spans="2:3">
      <c r="B22">
        <f>STEYX(D8:D18,C8:C18)</f>
        <v>14958.5368444953</v>
      </c>
      <c r="C22">
        <v>950000</v>
      </c>
    </row>
    <row r="23" spans="2:3">
      <c r="B23">
        <f>1.96*B22</f>
        <v>29318.7322152109</v>
      </c>
      <c r="C23">
        <v>30000</v>
      </c>
    </row>
  </sheetData>
  <pageMargins left="0.7" right="0.7" top="0.75" bottom="0.75" header="0.3" footer="0.3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D23"/>
  <sheetViews>
    <sheetView workbookViewId="0">
      <selection activeCell="D32" sqref="D3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53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64.8</v>
      </c>
      <c r="C8" s="10">
        <v>0</v>
      </c>
      <c r="D8" s="10">
        <v>0</v>
      </c>
    </row>
    <row r="9" spans="1:4">
      <c r="A9" s="10">
        <v>5</v>
      </c>
      <c r="B9" s="10">
        <v>65.1</v>
      </c>
      <c r="C9" s="10">
        <f>(B9-B8)/B8</f>
        <v>0.00462962962962959</v>
      </c>
      <c r="D9" s="10">
        <f>(A9*9.8/1000)/(C4)</f>
        <v>1256.41025641026</v>
      </c>
    </row>
    <row r="10" spans="1:4">
      <c r="A10" s="10">
        <v>55</v>
      </c>
      <c r="B10" s="10">
        <v>66</v>
      </c>
      <c r="C10" s="10">
        <f>(B10-B8)/B8</f>
        <v>0.0185185185185186</v>
      </c>
      <c r="D10" s="10">
        <f>(A10*9.8/1000)/(C4)</f>
        <v>13820.5128205128</v>
      </c>
    </row>
    <row r="11" spans="1:4">
      <c r="A11" s="10">
        <v>105</v>
      </c>
      <c r="B11" s="10">
        <v>67.1</v>
      </c>
      <c r="C11" s="10">
        <f>(B11-B8)/B8</f>
        <v>0.0354938271604938</v>
      </c>
      <c r="D11" s="10">
        <f>(A11*9.8/1000)/(C4)</f>
        <v>26384.6153846154</v>
      </c>
    </row>
    <row r="12" spans="1:4">
      <c r="A12" s="10">
        <v>155</v>
      </c>
      <c r="B12" s="10">
        <v>67.9</v>
      </c>
      <c r="C12" s="10">
        <f>(B12-B8)/B8</f>
        <v>0.0478395061728396</v>
      </c>
      <c r="D12" s="10">
        <f>(A12*9.8/1000)/(C4)</f>
        <v>38948.7179487179</v>
      </c>
    </row>
    <row r="13" spans="1:4">
      <c r="A13" s="10">
        <v>205</v>
      </c>
      <c r="B13" s="10">
        <v>68.5</v>
      </c>
      <c r="C13" s="10">
        <f>(B13-B8)/B8</f>
        <v>0.0570987654320988</v>
      </c>
      <c r="D13" s="10">
        <f>(A13*9.8/1000)/(C4)</f>
        <v>51512.8205128205</v>
      </c>
    </row>
    <row r="14" spans="1:4">
      <c r="A14" s="10">
        <v>255</v>
      </c>
      <c r="B14" s="10">
        <v>69.5</v>
      </c>
      <c r="C14" s="10">
        <f>(B14-B8)/B8</f>
        <v>0.0725308641975309</v>
      </c>
      <c r="D14" s="10">
        <f>(A14*9.8/1000)/(C4)</f>
        <v>64076.9230769231</v>
      </c>
    </row>
    <row r="15" spans="1:4">
      <c r="A15" s="10">
        <v>305</v>
      </c>
      <c r="B15" s="10">
        <v>70.3</v>
      </c>
      <c r="C15" s="10">
        <f>(B15-B8)/B8</f>
        <v>0.0848765432098765</v>
      </c>
      <c r="D15" s="10">
        <f>(A15*9.8/1000)/(C4)</f>
        <v>76641.0256410256</v>
      </c>
    </row>
    <row r="16" spans="1:4">
      <c r="A16" s="10">
        <v>319.3</v>
      </c>
      <c r="B16" s="10">
        <v>70.5</v>
      </c>
      <c r="C16" s="10">
        <f>(B16-B8)/B8</f>
        <v>0.087962962962963</v>
      </c>
      <c r="D16" s="10">
        <f>(A16*9.8/1000)/(C4)</f>
        <v>80234.358974359</v>
      </c>
    </row>
    <row r="17" spans="1:4">
      <c r="A17" s="10">
        <v>332.2</v>
      </c>
      <c r="B17" s="10">
        <v>70.9</v>
      </c>
      <c r="C17" s="10">
        <f>(B17-B8)/B8</f>
        <v>0.0941358024691359</v>
      </c>
      <c r="D17" s="10">
        <f>(A17*9.8/1000)/(C4)</f>
        <v>83475.8974358974</v>
      </c>
    </row>
    <row r="18" spans="1:4">
      <c r="A18" s="10">
        <v>345.2</v>
      </c>
      <c r="B18" s="10">
        <v>71.5</v>
      </c>
      <c r="C18" s="10">
        <f>(B18-B8)/B8</f>
        <v>0.103395061728395</v>
      </c>
      <c r="D18" s="10">
        <f>(A18*9.8/1000)/(C4)</f>
        <v>86742.5641025641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26</v>
      </c>
      <c r="C21" s="10">
        <f>SLOPE(D8:D18,C8:C18)</f>
        <v>904372.744543678</v>
      </c>
    </row>
    <row r="22" spans="2:3">
      <c r="B22">
        <f>STEYX(D8:D18,C8:C18)</f>
        <v>2606.62719701494</v>
      </c>
      <c r="C22">
        <v>900000</v>
      </c>
    </row>
    <row r="23" spans="2:3">
      <c r="B23">
        <f>1.96*B22</f>
        <v>5108.98930614927</v>
      </c>
      <c r="C23">
        <v>10000</v>
      </c>
    </row>
  </sheetData>
  <pageMargins left="0.7" right="0.7" top="0.75" bottom="0.75" header="0.3" footer="0.3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D23"/>
  <sheetViews>
    <sheetView workbookViewId="0">
      <selection activeCell="C21" sqref="C21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54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2.4</v>
      </c>
      <c r="C4" s="10">
        <f>(B3/1000)*(B4/1000)</f>
        <v>3.12e-5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62</v>
      </c>
      <c r="C8" s="10">
        <v>0</v>
      </c>
      <c r="D8" s="10">
        <v>0</v>
      </c>
    </row>
    <row r="9" spans="1:4">
      <c r="A9" s="10">
        <v>54.8</v>
      </c>
      <c r="B9" s="10">
        <v>62.1</v>
      </c>
      <c r="C9" s="10">
        <f>(B9-B8)/B8</f>
        <v>0.00161290322580647</v>
      </c>
      <c r="D9" s="10">
        <f>(A9*9.8/1000)/(C4)</f>
        <v>17212.8205128205</v>
      </c>
    </row>
    <row r="10" spans="1:4">
      <c r="A10" s="10">
        <v>104.8</v>
      </c>
      <c r="B10" s="10">
        <v>63.2</v>
      </c>
      <c r="C10" s="10">
        <f>(B10-B8)/B8</f>
        <v>0.0193548387096775</v>
      </c>
      <c r="D10" s="10">
        <f>(A10*9.8/1000)/(C4)</f>
        <v>32917.9487179487</v>
      </c>
    </row>
    <row r="11" spans="1:4">
      <c r="A11" s="10">
        <v>154.8</v>
      </c>
      <c r="B11" s="10">
        <v>63.9</v>
      </c>
      <c r="C11" s="10">
        <f>(B11-B8)/B8</f>
        <v>0.0306451612903226</v>
      </c>
      <c r="D11" s="10">
        <f>(A11*9.8/1000)/(C4)</f>
        <v>48623.0769230769</v>
      </c>
    </row>
    <row r="12" spans="1:4">
      <c r="A12" s="10">
        <v>204.8</v>
      </c>
      <c r="B12" s="10">
        <v>64.4</v>
      </c>
      <c r="C12" s="10">
        <f>(B12-B8)/B8</f>
        <v>0.0387096774193549</v>
      </c>
      <c r="D12" s="10">
        <f>(A12*9.8/1000)/(C4)</f>
        <v>64328.2051282052</v>
      </c>
    </row>
    <row r="13" spans="1:4">
      <c r="A13" s="10">
        <v>254.8</v>
      </c>
      <c r="B13" s="10">
        <v>65.4</v>
      </c>
      <c r="C13" s="10">
        <f>(B13-B8)/B8</f>
        <v>0.0548387096774194</v>
      </c>
      <c r="D13" s="10">
        <f>(A13*9.8/1000)/(C4)</f>
        <v>80033.3333333334</v>
      </c>
    </row>
    <row r="14" spans="1:4">
      <c r="A14" s="10">
        <v>304.8</v>
      </c>
      <c r="B14" s="10">
        <v>66.5</v>
      </c>
      <c r="C14" s="10">
        <f>(B14-B8)/B8</f>
        <v>0.0725806451612903</v>
      </c>
      <c r="D14" s="10">
        <f>(A14*9.8/1000)/(C4)</f>
        <v>95738.4615384616</v>
      </c>
    </row>
    <row r="15" spans="1:4">
      <c r="A15" s="10">
        <v>354.8</v>
      </c>
      <c r="B15" s="10">
        <v>66.9</v>
      </c>
      <c r="C15" s="10">
        <f>(B15-B8)/B8</f>
        <v>0.0790322580645162</v>
      </c>
      <c r="D15" s="10">
        <f>(A15*9.8/1000)/(C4)</f>
        <v>111443.58974359</v>
      </c>
    </row>
    <row r="16" spans="1:4">
      <c r="A16" s="10">
        <v>404.8</v>
      </c>
      <c r="B16" s="10">
        <v>67.5</v>
      </c>
      <c r="C16" s="10">
        <f>(B16-B8)/B8</f>
        <v>0.0887096774193548</v>
      </c>
      <c r="D16" s="10">
        <f>(A16*9.8/1000)/(C4)</f>
        <v>127148.717948718</v>
      </c>
    </row>
    <row r="17" spans="1:4">
      <c r="A17" s="10">
        <v>454.8</v>
      </c>
      <c r="B17" s="10">
        <v>68.3</v>
      </c>
      <c r="C17" s="10">
        <f>(B17-B8)/B8</f>
        <v>0.101612903225806</v>
      </c>
      <c r="D17" s="10">
        <f>(A17*9.8/1000)/(C4)</f>
        <v>142853.846153846</v>
      </c>
    </row>
    <row r="18" spans="1:4">
      <c r="A18" s="10">
        <v>504.8</v>
      </c>
      <c r="B18" s="10">
        <v>69.6</v>
      </c>
      <c r="C18" s="10">
        <f>(B18-B8)/B8</f>
        <v>0.12258064516129</v>
      </c>
      <c r="D18" s="10">
        <f>(A18*9.8/1000)/(C4)</f>
        <v>158558.974358974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1271133.63354565</v>
      </c>
    </row>
    <row r="22" spans="2:3">
      <c r="B22">
        <f>STEYX(D8:D18,C8:C18)</f>
        <v>5593.34482381665</v>
      </c>
      <c r="C22">
        <v>1270000</v>
      </c>
    </row>
    <row r="23" spans="2:3">
      <c r="B23">
        <f>1.96*B22</f>
        <v>10962.9558546806</v>
      </c>
      <c r="C23">
        <v>10000</v>
      </c>
    </row>
  </sheetData>
  <pageMargins left="0.7" right="0.7" top="0.75" bottom="0.75" header="0.3" footer="0.3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D23"/>
  <sheetViews>
    <sheetView workbookViewId="0">
      <selection activeCell="C21" sqref="C21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55</v>
      </c>
    </row>
    <row r="2" ht="14.4" spans="1:2">
      <c r="A2" s="3" t="s">
        <v>2</v>
      </c>
      <c r="B2" s="4"/>
    </row>
    <row r="3" spans="1:3">
      <c r="A3" s="5" t="s">
        <v>3</v>
      </c>
      <c r="B3" s="6">
        <v>12.4</v>
      </c>
      <c r="C3" s="7" t="s">
        <v>4</v>
      </c>
    </row>
    <row r="4" spans="1:3">
      <c r="A4" s="8" t="s">
        <v>5</v>
      </c>
      <c r="B4" s="9">
        <v>2</v>
      </c>
      <c r="C4" s="10">
        <f>(B3/1000)*(B4/1000)</f>
        <v>2.48e-5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70</v>
      </c>
      <c r="C8" s="10">
        <v>0</v>
      </c>
      <c r="D8" s="10">
        <v>0</v>
      </c>
    </row>
    <row r="9" spans="1:4">
      <c r="A9" s="10">
        <v>15.9</v>
      </c>
      <c r="B9" s="10">
        <v>70</v>
      </c>
      <c r="C9" s="10">
        <f>(B9-B8)/B8</f>
        <v>0</v>
      </c>
      <c r="D9" s="10">
        <f>(A9*9.8/1000)/(C4)</f>
        <v>6283.06451612903</v>
      </c>
    </row>
    <row r="10" spans="1:4">
      <c r="A10" s="10">
        <v>65.94</v>
      </c>
      <c r="B10" s="10">
        <v>70.5</v>
      </c>
      <c r="C10" s="10">
        <f>(B10-B8)/B8</f>
        <v>0.00714285714285714</v>
      </c>
      <c r="D10" s="10">
        <f>(A10*9.8/1000)/(C4)</f>
        <v>26056.935483871</v>
      </c>
    </row>
    <row r="11" spans="1:4">
      <c r="A11" s="10">
        <v>115.94</v>
      </c>
      <c r="B11" s="10">
        <v>71.5</v>
      </c>
      <c r="C11" s="10">
        <f>(B11-B8)/B8</f>
        <v>0.0214285714285714</v>
      </c>
      <c r="D11" s="10">
        <f>(A11*9.8/1000)/(C4)</f>
        <v>45815</v>
      </c>
    </row>
    <row r="12" spans="1:4">
      <c r="A12" s="10">
        <v>315.94</v>
      </c>
      <c r="B12" s="10">
        <v>73.8</v>
      </c>
      <c r="C12" s="10">
        <f>(B12-B8)/B8</f>
        <v>0.0542857142857142</v>
      </c>
      <c r="D12" s="10">
        <f>(A12*9.8/1000)/(C4)</f>
        <v>124847.258064516</v>
      </c>
    </row>
    <row r="13" spans="1:4">
      <c r="A13" s="10">
        <v>515.94</v>
      </c>
      <c r="B13" s="10">
        <v>77.5</v>
      </c>
      <c r="C13" s="10">
        <f>(B13-B8)/B8</f>
        <v>0.107142857142857</v>
      </c>
      <c r="D13" s="10">
        <f>(A13*9.8/1000)/(C4)</f>
        <v>203879.516129032</v>
      </c>
    </row>
    <row r="14" spans="1:4">
      <c r="A14" s="10">
        <v>565.94</v>
      </c>
      <c r="B14" s="10">
        <v>78.5</v>
      </c>
      <c r="C14" s="10">
        <f>(B14-B8)/B8</f>
        <v>0.121428571428571</v>
      </c>
      <c r="D14" s="10">
        <f>(A14*9.8/1000)/(C4)</f>
        <v>223637.580645161</v>
      </c>
    </row>
    <row r="15" spans="1:4">
      <c r="A15" s="10">
        <v>665.94</v>
      </c>
      <c r="B15" s="10">
        <v>80</v>
      </c>
      <c r="C15" s="10">
        <f>(B15-B8)/B8</f>
        <v>0.142857142857143</v>
      </c>
      <c r="D15" s="10">
        <f>(A15*9.8/1000)/(C4)</f>
        <v>263153.709677419</v>
      </c>
    </row>
    <row r="16" spans="1:4">
      <c r="A16" s="10">
        <v>670.84</v>
      </c>
      <c r="B16" s="10">
        <v>80</v>
      </c>
      <c r="C16" s="10">
        <f>(B16-B8)/B8</f>
        <v>0.142857142857143</v>
      </c>
      <c r="D16" s="10">
        <f>(A16*9.8/1000)/(C4)</f>
        <v>265090</v>
      </c>
    </row>
    <row r="17" spans="1:4">
      <c r="A17" s="10">
        <v>870.84</v>
      </c>
      <c r="B17" s="10">
        <v>83</v>
      </c>
      <c r="C17" s="10">
        <f>(B17-B8)/B8</f>
        <v>0.185714285714286</v>
      </c>
      <c r="D17" s="10">
        <f>(A17*9.8/1000)/(C4)</f>
        <v>344122.258064516</v>
      </c>
    </row>
    <row r="18" spans="1:4">
      <c r="A18" s="10">
        <v>1070.84</v>
      </c>
      <c r="B18" s="10">
        <v>85</v>
      </c>
      <c r="C18" s="10">
        <f>(B18-B8)/B8</f>
        <v>0.214285714285714</v>
      </c>
      <c r="D18" s="10">
        <f>(A18*9.8/1000)/(C4)</f>
        <v>423154.516129032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1857351.11604715</v>
      </c>
    </row>
    <row r="22" spans="2:3">
      <c r="B22">
        <f>STEYX(D8:D18,C8:C18)</f>
        <v>10455.5276328496</v>
      </c>
      <c r="C22">
        <v>1860000</v>
      </c>
    </row>
    <row r="23" spans="2:3">
      <c r="B23">
        <f>1.96*B22</f>
        <v>20492.8341603852</v>
      </c>
      <c r="C23">
        <v>20000</v>
      </c>
    </row>
  </sheetData>
  <pageMargins left="0.7" right="0.7" top="0.75" bottom="0.75" header="0.3" footer="0.3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23"/>
  <sheetViews>
    <sheetView workbookViewId="0">
      <selection activeCell="C13" sqref="C13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56</v>
      </c>
    </row>
    <row r="2" ht="14.4" spans="1:2">
      <c r="A2" s="3" t="s">
        <v>2</v>
      </c>
      <c r="B2" s="4"/>
    </row>
    <row r="3" spans="1:3">
      <c r="A3" s="5" t="s">
        <v>3</v>
      </c>
      <c r="B3" s="6">
        <v>13.1</v>
      </c>
      <c r="C3" s="7" t="s">
        <v>4</v>
      </c>
    </row>
    <row r="4" spans="1:3">
      <c r="A4" s="8" t="s">
        <v>5</v>
      </c>
      <c r="B4" s="9">
        <v>2.8</v>
      </c>
      <c r="C4" s="10">
        <f>(B3/1000)*(B4/1000)</f>
        <v>3.668e-5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66</v>
      </c>
      <c r="C8" s="10">
        <v>0</v>
      </c>
      <c r="D8" s="10">
        <v>0</v>
      </c>
    </row>
    <row r="9" spans="1:4">
      <c r="A9" s="10">
        <v>15.3</v>
      </c>
      <c r="B9" s="10">
        <v>66</v>
      </c>
      <c r="C9" s="10">
        <f>(B9-B8)/B8</f>
        <v>0</v>
      </c>
      <c r="D9" s="10">
        <f>(A9*9.8/1000)/(C4)</f>
        <v>4087.78625954199</v>
      </c>
    </row>
    <row r="10" spans="1:4">
      <c r="A10" s="10">
        <v>65.3</v>
      </c>
      <c r="B10" s="10">
        <v>67</v>
      </c>
      <c r="C10" s="10">
        <f>(B10-B8)/B8</f>
        <v>0.0151515151515152</v>
      </c>
      <c r="D10" s="10">
        <f>(A10*9.8/1000)/(C4)</f>
        <v>17446.5648854962</v>
      </c>
    </row>
    <row r="11" spans="1:4">
      <c r="A11" s="10">
        <v>115.3</v>
      </c>
      <c r="B11" s="10">
        <v>68</v>
      </c>
      <c r="C11" s="10">
        <f>(B11-B8)/B8</f>
        <v>0.0303030303030303</v>
      </c>
      <c r="D11" s="10">
        <f>(A11*9.8/1000)/(C4)</f>
        <v>30805.3435114504</v>
      </c>
    </row>
    <row r="12" spans="1:4">
      <c r="A12" s="10">
        <v>165.3</v>
      </c>
      <c r="B12" s="10">
        <v>69</v>
      </c>
      <c r="C12" s="10">
        <f>(B12-B8)/B8</f>
        <v>0.0454545454545455</v>
      </c>
      <c r="D12" s="10">
        <f>(A12*9.8/1000)/(C4)</f>
        <v>44164.1221374046</v>
      </c>
    </row>
    <row r="13" spans="1:4">
      <c r="A13" s="19">
        <v>215.3</v>
      </c>
      <c r="B13" s="19">
        <v>70</v>
      </c>
      <c r="C13" s="19">
        <f>(B13-B8)/B8</f>
        <v>0.0606060606060606</v>
      </c>
      <c r="D13" s="19">
        <f>(A13*9.8/1000)/(C4)</f>
        <v>57522.9007633588</v>
      </c>
    </row>
    <row r="14" spans="1:4">
      <c r="A14" s="20">
        <v>265.3</v>
      </c>
      <c r="B14" s="20">
        <v>71</v>
      </c>
      <c r="C14" s="20">
        <f>(B14-B8)/B8</f>
        <v>0.0757575757575758</v>
      </c>
      <c r="D14" s="20">
        <f>(A14*9.8/1000)/(C4)</f>
        <v>70881.679389313</v>
      </c>
    </row>
    <row r="15" spans="1:4">
      <c r="A15" s="20">
        <v>315.3</v>
      </c>
      <c r="B15" s="20">
        <v>71</v>
      </c>
      <c r="C15" s="20">
        <f>(B15-B8)/B8</f>
        <v>0.0757575757575758</v>
      </c>
      <c r="D15" s="20">
        <f>(A15*9.8/1000)/(C4)</f>
        <v>84240.4580152672</v>
      </c>
    </row>
    <row r="16" spans="1:4">
      <c r="A16" s="10">
        <v>415.3</v>
      </c>
      <c r="B16" s="10">
        <v>73</v>
      </c>
      <c r="C16" s="10">
        <f>(B16-B8)/B8</f>
        <v>0.106060606060606</v>
      </c>
      <c r="D16" s="10">
        <f>(A16*9.8/1000)/(C4)</f>
        <v>110958.015267176</v>
      </c>
    </row>
    <row r="17" spans="1:4">
      <c r="A17" s="10">
        <v>515.3</v>
      </c>
      <c r="B17" s="10">
        <v>75</v>
      </c>
      <c r="C17" s="10">
        <f>(B17-B8)/B8</f>
        <v>0.136363636363636</v>
      </c>
      <c r="D17" s="10">
        <f>(A17*9.8/1000)/(C4)</f>
        <v>137675.572519084</v>
      </c>
    </row>
    <row r="18" spans="1:4">
      <c r="A18" s="10">
        <v>565.3</v>
      </c>
      <c r="B18" s="10">
        <v>76</v>
      </c>
      <c r="C18" s="10">
        <f>(B18-B8)/B8</f>
        <v>0.151515151515152</v>
      </c>
      <c r="D18" s="10">
        <f>(A18*9.8/1000)/(C4)</f>
        <v>151034.351145038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998243.673088948</v>
      </c>
    </row>
    <row r="22" spans="2:3">
      <c r="B22">
        <f>STEYX(D8:D18,C8:C18)</f>
        <v>3975.32001503014</v>
      </c>
      <c r="C22">
        <v>1000000</v>
      </c>
    </row>
    <row r="23" spans="2:3">
      <c r="B23">
        <f>1.96*B22</f>
        <v>7791.62722945908</v>
      </c>
      <c r="C23">
        <v>10000</v>
      </c>
    </row>
  </sheetData>
  <pageMargins left="0.7" right="0.7" top="0.75" bottom="0.75" header="0.3" footer="0.3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D31"/>
  <sheetViews>
    <sheetView workbookViewId="0">
      <selection activeCell="C21" sqref="C21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57</v>
      </c>
    </row>
    <row r="2" ht="14.4" spans="1:2">
      <c r="A2" s="3" t="s">
        <v>2</v>
      </c>
      <c r="B2" s="4"/>
    </row>
    <row r="3" spans="1:3">
      <c r="A3" s="5" t="s">
        <v>3</v>
      </c>
      <c r="B3" s="6">
        <v>12.5</v>
      </c>
      <c r="C3" s="7" t="s">
        <v>4</v>
      </c>
    </row>
    <row r="4" spans="1:3">
      <c r="A4" s="8" t="s">
        <v>5</v>
      </c>
      <c r="B4" s="9">
        <v>2.1</v>
      </c>
      <c r="C4" s="10">
        <f>(B3/1000)*(B4/1000)</f>
        <v>2.625e-5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67</v>
      </c>
      <c r="C8" s="10">
        <v>0</v>
      </c>
      <c r="D8" s="10">
        <v>0</v>
      </c>
    </row>
    <row r="9" spans="1:4">
      <c r="A9" s="10">
        <v>15.6</v>
      </c>
      <c r="B9" s="10">
        <v>67.2</v>
      </c>
      <c r="C9" s="10">
        <f>(B9-B8)/B8</f>
        <v>0.00298507462686571</v>
      </c>
      <c r="D9" s="10">
        <f>(A9*9.8/1000)/(C4)</f>
        <v>5824</v>
      </c>
    </row>
    <row r="10" spans="1:4">
      <c r="A10" s="10">
        <v>115.6</v>
      </c>
      <c r="B10" s="10">
        <v>68</v>
      </c>
      <c r="C10" s="10">
        <f>(B10-B8)/B8</f>
        <v>0.0149253731343284</v>
      </c>
      <c r="D10" s="10">
        <f>(A10*9.8/1000)/(C4)</f>
        <v>43157.3333333333</v>
      </c>
    </row>
    <row r="11" spans="1:4">
      <c r="A11" s="10">
        <v>225.6</v>
      </c>
      <c r="B11" s="10">
        <v>69</v>
      </c>
      <c r="C11" s="10">
        <f>(B11-B8)/B8</f>
        <v>0.0298507462686567</v>
      </c>
      <c r="D11" s="10">
        <f>(A11*9.8/1000)/(C4)</f>
        <v>84224</v>
      </c>
    </row>
    <row r="12" spans="1:4">
      <c r="A12" s="10">
        <v>415.6</v>
      </c>
      <c r="B12" s="10">
        <v>72</v>
      </c>
      <c r="C12" s="10">
        <f>(B12-B8)/B8</f>
        <v>0.0746268656716418</v>
      </c>
      <c r="D12" s="10">
        <f>(A12*9.8/1000)/(C4)</f>
        <v>155157.333333333</v>
      </c>
    </row>
    <row r="13" spans="1:4">
      <c r="A13" s="10">
        <v>515.6</v>
      </c>
      <c r="B13" s="10">
        <v>74</v>
      </c>
      <c r="C13" s="10">
        <f>(B13-B8)/B8</f>
        <v>0.104477611940299</v>
      </c>
      <c r="D13" s="10">
        <f>(A13*9.8/1000)/(C4)</f>
        <v>192490.666666667</v>
      </c>
    </row>
    <row r="14" spans="1:4">
      <c r="A14" s="10">
        <v>715.6</v>
      </c>
      <c r="B14" s="10">
        <v>76</v>
      </c>
      <c r="C14" s="10">
        <f>(B14-B8)/B8</f>
        <v>0.134328358208955</v>
      </c>
      <c r="D14" s="10">
        <f>(A14*9.8/1000)/(C4)</f>
        <v>267157.333333333</v>
      </c>
    </row>
    <row r="15" spans="1:4">
      <c r="A15" s="10">
        <v>815.6</v>
      </c>
      <c r="B15" s="10">
        <v>77</v>
      </c>
      <c r="C15" s="10">
        <f>(B15-B8)/B8</f>
        <v>0.149253731343284</v>
      </c>
      <c r="D15" s="10">
        <f>(A15*9.8/1000)/(C4)</f>
        <v>304490.666666667</v>
      </c>
    </row>
    <row r="16" spans="1:4">
      <c r="A16" s="10">
        <v>915.6</v>
      </c>
      <c r="B16" s="10">
        <v>80.5</v>
      </c>
      <c r="C16" s="10">
        <f>(B16-B8)/B8</f>
        <v>0.201492537313433</v>
      </c>
      <c r="D16" s="10">
        <f>(A16*9.8/1000)/(C4)</f>
        <v>341824</v>
      </c>
    </row>
    <row r="17" spans="1:4">
      <c r="A17" s="10">
        <v>965.6</v>
      </c>
      <c r="B17" s="10">
        <v>81</v>
      </c>
      <c r="C17" s="10">
        <f>(B17-B8)/B8</f>
        <v>0.208955223880597</v>
      </c>
      <c r="D17" s="10">
        <f>(A17*9.8/1000)/(C4)</f>
        <v>360490.666666667</v>
      </c>
    </row>
    <row r="18" spans="1:4">
      <c r="A18" s="10">
        <v>1165.5</v>
      </c>
      <c r="B18" s="10">
        <v>85</v>
      </c>
      <c r="C18" s="10">
        <f>(B18-B8)/B8</f>
        <v>0.26865671641791</v>
      </c>
      <c r="D18" s="10">
        <f>(A18*9.8/1000)/(C4)</f>
        <v>435120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1638647.7466947</v>
      </c>
    </row>
    <row r="22" spans="2:3">
      <c r="B22">
        <f>STEYX(D8:D18,C8:C18)</f>
        <v>21490.7355678715</v>
      </c>
      <c r="C22">
        <v>1640000</v>
      </c>
    </row>
    <row r="23" spans="2:3">
      <c r="B23">
        <f>1.96*B22</f>
        <v>42121.8417130281</v>
      </c>
      <c r="C23">
        <v>40000</v>
      </c>
    </row>
    <row r="31" spans="4:4">
      <c r="D31" t="s">
        <v>58</v>
      </c>
    </row>
  </sheetData>
  <pageMargins left="0.7" right="0.7" top="0.75" bottom="0.75" header="0.3" footer="0.3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/>
  <dimension ref="A1:D23"/>
  <sheetViews>
    <sheetView workbookViewId="0">
      <selection activeCell="C21" sqref="C21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59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7">
        <v>5</v>
      </c>
      <c r="B8" s="17">
        <v>73</v>
      </c>
      <c r="C8" s="10">
        <v>0</v>
      </c>
      <c r="D8" s="10">
        <v>0</v>
      </c>
    </row>
    <row r="9" spans="1:4">
      <c r="A9" s="18">
        <v>105</v>
      </c>
      <c r="B9" s="18">
        <v>75</v>
      </c>
      <c r="C9" s="10">
        <f>(B9-B8)/B8</f>
        <v>0.0273972602739726</v>
      </c>
      <c r="D9" s="10">
        <f>(A9*9.8/1000)/(C4)</f>
        <v>26384.6153846154</v>
      </c>
    </row>
    <row r="10" spans="1:4">
      <c r="A10" s="17">
        <v>205</v>
      </c>
      <c r="B10" s="18">
        <v>76</v>
      </c>
      <c r="C10" s="10">
        <f>(B10-B8)/B8</f>
        <v>0.0410958904109589</v>
      </c>
      <c r="D10" s="10">
        <f>(A10*9.8/1000)/(C4)</f>
        <v>51512.8205128205</v>
      </c>
    </row>
    <row r="11" spans="1:4">
      <c r="A11" s="18">
        <v>305</v>
      </c>
      <c r="B11" s="18">
        <v>78</v>
      </c>
      <c r="C11" s="10">
        <f>(B11-B8)/B8</f>
        <v>0.0684931506849315</v>
      </c>
      <c r="D11" s="10">
        <f>(A11*9.8/1000)/(C4)</f>
        <v>76641.0256410256</v>
      </c>
    </row>
    <row r="12" spans="1:4">
      <c r="A12" s="17">
        <v>405</v>
      </c>
      <c r="B12" s="18">
        <v>79</v>
      </c>
      <c r="C12" s="10">
        <f>(B12-B8)/B8</f>
        <v>0.0821917808219178</v>
      </c>
      <c r="D12" s="10">
        <f>(A12*9.8/1000)/(C4)</f>
        <v>101769.230769231</v>
      </c>
    </row>
    <row r="13" spans="1:4">
      <c r="A13" s="18">
        <v>505</v>
      </c>
      <c r="B13" s="18">
        <v>80</v>
      </c>
      <c r="C13" s="10">
        <f>(B13-B8)/B8</f>
        <v>0.0958904109589041</v>
      </c>
      <c r="D13" s="10">
        <f>(A13*9.8/1000)/(C4)</f>
        <v>126897.435897436</v>
      </c>
    </row>
    <row r="14" spans="1:4">
      <c r="A14" s="17">
        <v>605</v>
      </c>
      <c r="B14" s="18">
        <v>81.5</v>
      </c>
      <c r="C14" s="10">
        <f>(B14-B8)/B8</f>
        <v>0.116438356164384</v>
      </c>
      <c r="D14" s="10">
        <f>(A14*9.8/1000)/(C4)</f>
        <v>152025.641025641</v>
      </c>
    </row>
    <row r="15" spans="1:4">
      <c r="A15" s="18">
        <v>705</v>
      </c>
      <c r="B15" s="18">
        <v>82</v>
      </c>
      <c r="C15" s="10">
        <f>(B15-B8)/B8</f>
        <v>0.123287671232877</v>
      </c>
      <c r="D15" s="10">
        <f>(A15*9.8/1000)/(C4)</f>
        <v>177153.846153846</v>
      </c>
    </row>
    <row r="16" spans="1:4">
      <c r="A16" s="17">
        <v>805</v>
      </c>
      <c r="B16" s="18">
        <v>83.3</v>
      </c>
      <c r="C16" s="10">
        <f>(B16-B8)/B8</f>
        <v>0.141095890410959</v>
      </c>
      <c r="D16" s="10">
        <f>(A16*9.8/1000)/(C4)</f>
        <v>202282.051282051</v>
      </c>
    </row>
    <row r="17" spans="1:4">
      <c r="A17" s="18">
        <v>905</v>
      </c>
      <c r="B17" s="18">
        <v>84.8</v>
      </c>
      <c r="C17" s="10">
        <f>(B17-B8)/B8</f>
        <v>0.161643835616438</v>
      </c>
      <c r="D17" s="10">
        <f>(A17*9.8/1000)/(C4)</f>
        <v>227410.256410256</v>
      </c>
    </row>
    <row r="18" spans="1:4">
      <c r="A18" s="17">
        <v>1005</v>
      </c>
      <c r="B18" s="18">
        <v>86</v>
      </c>
      <c r="C18" s="10">
        <f>(B18-B8)/B8</f>
        <v>0.178082191780822</v>
      </c>
      <c r="D18" s="10">
        <f>(A18*9.8/1000)/(C4)</f>
        <v>252538.461538462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1469012.38253441</v>
      </c>
    </row>
    <row r="22" spans="2:3">
      <c r="B22">
        <f>STEYX(D8:D18,C8:C18)</f>
        <v>7647.03373929059</v>
      </c>
      <c r="C22">
        <v>1470000</v>
      </c>
    </row>
    <row r="23" spans="2:3">
      <c r="B23">
        <f>1.96*B22</f>
        <v>14988.1861290096</v>
      </c>
      <c r="C23">
        <v>10000</v>
      </c>
    </row>
  </sheetData>
  <pageMargins left="0.7" right="0.7" top="0.75" bottom="0.75" header="0.3" footer="0.3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D23"/>
  <sheetViews>
    <sheetView workbookViewId="0">
      <selection activeCell="C21" sqref="C21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60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2.5</v>
      </c>
      <c r="C4" s="10">
        <f>(B3/1000)*(B4/1000)</f>
        <v>3.25e-5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74</v>
      </c>
      <c r="C8" s="10">
        <v>0</v>
      </c>
      <c r="D8" s="10">
        <v>0</v>
      </c>
    </row>
    <row r="9" spans="1:4">
      <c r="A9" s="10">
        <v>21</v>
      </c>
      <c r="B9" s="10">
        <v>75</v>
      </c>
      <c r="C9" s="10">
        <f>(B9-B8)/B8</f>
        <v>0.0135135135135135</v>
      </c>
      <c r="D9" s="10">
        <f>(A9*9.8/1000)/(C4)</f>
        <v>6332.30769230769</v>
      </c>
    </row>
    <row r="10" spans="1:4">
      <c r="A10" s="10">
        <v>121</v>
      </c>
      <c r="B10" s="10">
        <v>76.5</v>
      </c>
      <c r="C10" s="10">
        <f>(B10-B8)/B8</f>
        <v>0.0337837837837838</v>
      </c>
      <c r="D10" s="10">
        <f>(A10*9.8/1000)/(C4)</f>
        <v>36486.1538461539</v>
      </c>
    </row>
    <row r="11" spans="1:4">
      <c r="A11" s="10">
        <v>221</v>
      </c>
      <c r="B11" s="10">
        <v>78</v>
      </c>
      <c r="C11" s="10">
        <f>(B11-B8)/B8</f>
        <v>0.0540540540540541</v>
      </c>
      <c r="D11" s="10">
        <f>(A11*9.8/1000)/(C4)</f>
        <v>66640</v>
      </c>
    </row>
    <row r="12" spans="1:4">
      <c r="A12" s="10">
        <v>321</v>
      </c>
      <c r="B12" s="10">
        <v>80.5</v>
      </c>
      <c r="C12" s="10">
        <f>(B12-B8)/B8</f>
        <v>0.0878378378378378</v>
      </c>
      <c r="D12" s="10">
        <f>(A12*9.8/1000)/(C4)</f>
        <v>96793.8461538462</v>
      </c>
    </row>
    <row r="13" spans="1:4">
      <c r="A13" s="10">
        <v>421</v>
      </c>
      <c r="B13" s="10">
        <v>82</v>
      </c>
      <c r="C13" s="10">
        <f>(B13-B8)/B8</f>
        <v>0.108108108108108</v>
      </c>
      <c r="D13" s="10">
        <f>(A13*9.8/1000)/(C4)</f>
        <v>126947.692307692</v>
      </c>
    </row>
    <row r="14" spans="1:4">
      <c r="A14" s="10">
        <v>521</v>
      </c>
      <c r="B14" s="10">
        <v>83.7</v>
      </c>
      <c r="C14" s="10">
        <f>(B14-B8)/B8</f>
        <v>0.131081081081081</v>
      </c>
      <c r="D14" s="10">
        <f>(A14*9.8/1000)/(C4)</f>
        <v>157101.538461538</v>
      </c>
    </row>
    <row r="15" spans="1:4">
      <c r="A15" s="10">
        <v>621</v>
      </c>
      <c r="B15" s="10">
        <v>85.5</v>
      </c>
      <c r="C15" s="10">
        <f>(B15-B8)/B8</f>
        <v>0.155405405405405</v>
      </c>
      <c r="D15" s="10">
        <f>(A15*9.8/1000)/(C4)</f>
        <v>187255.384615385</v>
      </c>
    </row>
    <row r="16" spans="1:4">
      <c r="A16" s="10">
        <v>671</v>
      </c>
      <c r="B16" s="10">
        <v>86</v>
      </c>
      <c r="C16" s="10">
        <f>(B16-B8)/B8</f>
        <v>0.162162162162162</v>
      </c>
      <c r="D16" s="10">
        <f>(A16*9.8/1000)/(C4)</f>
        <v>202332.307692308</v>
      </c>
    </row>
    <row r="17" spans="1:4">
      <c r="A17" s="10">
        <v>721</v>
      </c>
      <c r="B17" s="10">
        <v>87</v>
      </c>
      <c r="C17" s="10">
        <f>(B17-B8)/B8</f>
        <v>0.175675675675676</v>
      </c>
      <c r="D17" s="10">
        <f>(A17*9.8/1000)/(C4)</f>
        <v>217409.230769231</v>
      </c>
    </row>
    <row r="18" spans="1:4">
      <c r="A18" s="10">
        <v>771</v>
      </c>
      <c r="B18" s="10">
        <v>88</v>
      </c>
      <c r="C18" s="10">
        <f>(B18-B8)/B8</f>
        <v>0.189189189189189</v>
      </c>
      <c r="D18" s="10">
        <f>(A18*9.8/1000)/(C4)</f>
        <v>232486.153846154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1257490.95520355</v>
      </c>
    </row>
    <row r="22" spans="2:3">
      <c r="B22">
        <f>STEYX(D8:D18,C8:C18)</f>
        <v>4482.70554621483</v>
      </c>
      <c r="C22">
        <v>1260000</v>
      </c>
    </row>
    <row r="23" spans="2:3">
      <c r="B23">
        <f>1.96*B22</f>
        <v>8786.10287058107</v>
      </c>
      <c r="C23">
        <v>10000</v>
      </c>
    </row>
  </sheetData>
  <pageMargins left="0.7" right="0.7" top="0.75" bottom="0.75" header="0.3" footer="0.3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1"/>
  <dimension ref="A1:D23"/>
  <sheetViews>
    <sheetView workbookViewId="0">
      <selection activeCell="C21" sqref="C21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61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68.5</v>
      </c>
      <c r="C8" s="10">
        <v>0</v>
      </c>
      <c r="D8" s="10">
        <v>0</v>
      </c>
    </row>
    <row r="9" spans="1:4">
      <c r="A9" s="10">
        <v>15.4</v>
      </c>
      <c r="B9" s="10">
        <v>70</v>
      </c>
      <c r="C9" s="10">
        <f>(B9-B8)/B8</f>
        <v>0.0218978102189781</v>
      </c>
      <c r="D9" s="10">
        <f>(A9*9.8/1000)/(C4)</f>
        <v>3869.74358974359</v>
      </c>
    </row>
    <row r="10" spans="1:4">
      <c r="A10" s="10">
        <v>115.4</v>
      </c>
      <c r="B10" s="10">
        <v>71</v>
      </c>
      <c r="C10" s="10">
        <f>(B10-B8)/B8</f>
        <v>0.0364963503649635</v>
      </c>
      <c r="D10" s="10">
        <f>(A10*9.8/1000)/(C4)</f>
        <v>28997.9487179487</v>
      </c>
    </row>
    <row r="11" spans="1:4">
      <c r="A11" s="10">
        <v>215.4</v>
      </c>
      <c r="B11" s="10">
        <v>72</v>
      </c>
      <c r="C11" s="10">
        <f>(B11-B8)/B8</f>
        <v>0.0510948905109489</v>
      </c>
      <c r="D11" s="10">
        <f>(A11*9.8/1000)/(C4)</f>
        <v>54126.1538461539</v>
      </c>
    </row>
    <row r="12" spans="1:4">
      <c r="A12" s="10">
        <v>315.4</v>
      </c>
      <c r="B12" s="10">
        <v>73</v>
      </c>
      <c r="C12" s="10">
        <f>(B12-B8)/B8</f>
        <v>0.0656934306569343</v>
      </c>
      <c r="D12" s="10">
        <f>(A12*9.8/1000)/(C4)</f>
        <v>79254.358974359</v>
      </c>
    </row>
    <row r="13" spans="1:4">
      <c r="A13" s="10">
        <v>515.4</v>
      </c>
      <c r="B13" s="10">
        <v>75</v>
      </c>
      <c r="C13" s="10">
        <f>(B13-B8)/B8</f>
        <v>0.0948905109489051</v>
      </c>
      <c r="D13" s="10">
        <f>(A13*9.8/1000)/(C4)</f>
        <v>129510.769230769</v>
      </c>
    </row>
    <row r="14" spans="1:4">
      <c r="A14" s="10">
        <v>715.4</v>
      </c>
      <c r="B14" s="10">
        <v>78.5</v>
      </c>
      <c r="C14" s="10">
        <f>(B14-B8)/B8</f>
        <v>0.145985401459854</v>
      </c>
      <c r="D14" s="10">
        <f>(A14*9.8/1000)/(C4)</f>
        <v>179767.179487179</v>
      </c>
    </row>
    <row r="15" spans="1:4">
      <c r="A15" s="10">
        <v>815.4</v>
      </c>
      <c r="B15" s="10">
        <v>79.5</v>
      </c>
      <c r="C15" s="10">
        <f>(B15-B8)/B8</f>
        <v>0.160583941605839</v>
      </c>
      <c r="D15" s="10">
        <f>(A15*9.8/1000)/(C4)</f>
        <v>204895.384615385</v>
      </c>
    </row>
    <row r="16" spans="1:4">
      <c r="A16" s="10">
        <v>915.4</v>
      </c>
      <c r="B16" s="10">
        <v>80.1</v>
      </c>
      <c r="C16" s="10">
        <f>(B16-B8)/B8</f>
        <v>0.169343065693431</v>
      </c>
      <c r="D16" s="10">
        <f>(A16*9.8/1000)/(C4)</f>
        <v>230023.58974359</v>
      </c>
    </row>
    <row r="17" spans="1:4">
      <c r="A17" s="10">
        <v>1115.4</v>
      </c>
      <c r="B17" s="10">
        <v>80.4</v>
      </c>
      <c r="C17" s="10">
        <f>(B17-B8)/B8</f>
        <v>0.173722627737226</v>
      </c>
      <c r="D17" s="10">
        <f>(A17*9.8/1000)/(C4)</f>
        <v>280280</v>
      </c>
    </row>
    <row r="18" spans="1:4">
      <c r="A18" s="16"/>
      <c r="B18" s="16"/>
      <c r="C18" s="10"/>
      <c r="D18" s="10"/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SLOPE(D8:D17,C8:C17)</f>
        <v>1500402.32127289</v>
      </c>
    </row>
    <row r="22" spans="2:3">
      <c r="B22">
        <f>STEYX(D8:D18,C8:C18)</f>
        <v>18626.6118452717</v>
      </c>
      <c r="C22">
        <v>1500000</v>
      </c>
    </row>
    <row r="23" spans="2:3">
      <c r="B23">
        <f>1.96*B22</f>
        <v>36508.1592167325</v>
      </c>
      <c r="C23">
        <v>40000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41</vt:i4>
      </vt:variant>
    </vt:vector>
  </HeadingPairs>
  <TitlesOfParts>
    <vt:vector size="41" baseType="lpstr"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  <vt:lpstr>P31</vt:lpstr>
      <vt:lpstr>P32</vt:lpstr>
      <vt:lpstr>P33</vt:lpstr>
      <vt:lpstr>P34</vt:lpstr>
      <vt:lpstr>P35</vt:lpstr>
      <vt:lpstr>P36</vt:lpstr>
      <vt:lpstr>P37</vt:lpstr>
      <vt:lpstr>P38</vt:lpstr>
      <vt:lpstr>P39</vt:lpstr>
      <vt:lpstr>P40</vt:lpstr>
      <vt:lpstr>P41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Cavalli</dc:creator>
  <cp:lastModifiedBy>v</cp:lastModifiedBy>
  <dcterms:created xsi:type="dcterms:W3CDTF">2018-09-04T14:04:00Z</dcterms:created>
  <dcterms:modified xsi:type="dcterms:W3CDTF">2023-03-05T03:17:37Z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016351A85C234B65A11C0D8DE70B1476</vt:lpwstr>
  </property>
  <property fmtid="{D5CDD505-2E9C-101B-9397-08002B2CF9AE}" pid="3" name="KSOProductBuildVer">
    <vt:lpwstr>2052-11.1.0.12763</vt:lpwstr>
  </property>
</Properties>
</file>