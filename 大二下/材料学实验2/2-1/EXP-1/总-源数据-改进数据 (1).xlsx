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 activeTab="3"/>
  </bookViews>
  <sheets>
    <sheet name="SampleA Unmodified Material Gro" sheetId="1" r:id="rId1"/>
    <sheet name="SampleB Unmodified Polymer Grou" sheetId="3" r:id="rId2"/>
    <sheet name="SampleC Modified Material Group" sheetId="2" r:id="rId3"/>
    <sheet name="SampleD Modified Polymer Group" sheetId="6" r:id="rId4"/>
  </sheets>
  <externalReferences>
    <externalReference r:id="rId5"/>
    <externalReference r:id="rId6"/>
  </externalReferences>
  <definedNames>
    <definedName name="_xlchart.v1.0" hidden="1">'[2]Normal distri UN-poly'!$D$1:$D$41</definedName>
  </definedNames>
  <calcPr calcId="144525"/>
</workbook>
</file>

<file path=xl/sharedStrings.xml><?xml version="1.0" encoding="utf-8"?>
<sst xmlns="http://schemas.openxmlformats.org/spreadsheetml/2006/main" count="266" uniqueCount="105">
  <si>
    <t>Raw Data</t>
  </si>
  <si>
    <t>Modified Data</t>
  </si>
  <si>
    <t>Group</t>
  </si>
  <si>
    <t>Modulus(Pa)</t>
  </si>
  <si>
    <t>Significant figure(KPa)</t>
  </si>
  <si>
    <t>Error(Kpa)</t>
  </si>
  <si>
    <t>MEAN(KPa)</t>
  </si>
  <si>
    <t>MODE(KPa)</t>
  </si>
  <si>
    <t>MEDIAN(KPa)</t>
  </si>
  <si>
    <t>SD(KPa)</t>
  </si>
  <si>
    <t>SE(KPa)</t>
  </si>
  <si>
    <t>CI(KPa)</t>
  </si>
  <si>
    <t>frequency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</si>
  <si>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</si>
  <si>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</si>
  <si>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</si>
  <si>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</si>
  <si>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</si>
  <si>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</si>
  <si>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</si>
  <si>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</si>
  <si>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</si>
  <si>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</si>
  <si>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</si>
  <si>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</si>
  <si>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</si>
  <si>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</si>
  <si>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</si>
  <si>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</si>
  <si>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</si>
  <si>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</si>
  <si>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</si>
  <si>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</si>
  <si>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</si>
  <si>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</si>
  <si>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</si>
  <si>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</si>
  <si>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</si>
  <si>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</si>
  <si>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</si>
  <si>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</si>
  <si>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</si>
  <si>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</si>
  <si>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</si>
  <si>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</si>
  <si>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</si>
  <si>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</si>
  <si>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</si>
  <si>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</si>
  <si>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</si>
  <si>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</si>
  <si>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</si>
  <si>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</si>
  <si>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</si>
  <si>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</si>
  <si>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</si>
  <si>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</si>
  <si>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</si>
  <si>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</si>
  <si>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</si>
  <si>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</si>
  <si>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</si>
  <si>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</si>
  <si>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</si>
  <si>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</si>
  <si>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</si>
  <si>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</si>
  <si>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</si>
  <si>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</si>
  <si>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</si>
  <si>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</si>
  <si>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</si>
  <si>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</si>
  <si>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</si>
  <si>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</si>
  <si>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</si>
  <si>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</si>
  <si>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</si>
  <si>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</si>
  <si>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</si>
  <si>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</si>
  <si>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</si>
  <si>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</si>
  <si>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</si>
  <si>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</si>
  <si>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</si>
  <si>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</si>
  <si>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</si>
  <si>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</si>
  <si>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</si>
  <si>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</si>
  <si>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</si>
  <si>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</si>
  <si>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</si>
  <si>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Raw Data=Modified Data</t>
  </si>
  <si>
    <t>概率</t>
  </si>
  <si>
    <t>MA</t>
  </si>
  <si>
    <t>-</t>
  </si>
  <si>
    <t>MB</t>
  </si>
  <si>
    <t>MC</t>
  </si>
  <si>
    <t>MD</t>
  </si>
  <si>
    <t>PA</t>
  </si>
  <si>
    <t>PB</t>
  </si>
  <si>
    <t>PC</t>
  </si>
  <si>
    <t>PD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</si>
</sst>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15" fillId="16" borderId="8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right"/>
    </xf>
    <xf numFmtId="0" fontId="0" fillId="3" borderId="1" xfId="0" applyNumberFormat="1" applyFont="1" applyFill="1" applyBorder="1" applyAlignment="1">
      <alignment vertical="center"/>
    </xf>
    <xf numFmtId="0" fontId="0" fillId="3" borderId="1" xfId="0" applyFont="1" applyFill="1" applyBorder="1" applyAlignment="1"/>
    <xf numFmtId="0" fontId="0" fillId="3" borderId="1" xfId="0" applyFont="1" applyFill="1" applyBorder="1" applyAlignment="1">
      <alignment vertical="center"/>
    </xf>
    <xf numFmtId="0" fontId="0" fillId="4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right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right"/>
    </xf>
    <xf numFmtId="0" fontId="0" fillId="0" borderId="0" xfId="0" applyNumberFormat="1">
      <alignment vertical="center"/>
    </xf>
    <xf numFmtId="0" fontId="0" fillId="0" borderId="0" xfId="0" applyFill="1" applyAlignment="1"/>
    <xf numFmtId="0" fontId="0" fillId="0" borderId="1" xfId="0" applyFont="1" applyFill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/>
    <xf numFmtId="0" fontId="0" fillId="3" borderId="1" xfId="0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/>
    </xf>
    <xf numFmtId="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latin typeface="Times New Roman" panose="02020603050405020304" charset="0"/>
                <a:cs typeface="Times New Roman" panose="02020603050405020304" charset="0"/>
              </a:rPr>
              <a:t>Normal Distribution</a:t>
            </a:r>
            <a:endParaRPr lang="en-US" altLang="zh-CN" b="1">
              <a:latin typeface="Times New Roman" panose="02020603050405020304" charset="0"/>
              <a:cs typeface="Times New Roman" panose="02020603050405020304" charset="0"/>
            </a:endParaRPr>
          </a:p>
        </c:rich>
      </c:tx>
      <c:layout>
        <c:manualLayout>
          <c:xMode val="edge"/>
          <c:yMode val="edge"/>
          <c:x val="0.387459070520915"/>
          <c:y val="0.02045432477367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'SampleA Unmodified Material Gro'!$K$3:$K$42</c:f>
              <c:numCache>
                <c:formatCode>General</c:formatCode>
                <c:ptCount val="40"/>
                <c:pt idx="0">
                  <c:v>1116</c:v>
                </c:pt>
                <c:pt idx="1">
                  <c:v>1110</c:v>
                </c:pt>
                <c:pt idx="2">
                  <c:v>970</c:v>
                </c:pt>
                <c:pt idx="3">
                  <c:v>2150</c:v>
                </c:pt>
                <c:pt idx="4">
                  <c:v>680</c:v>
                </c:pt>
                <c:pt idx="5">
                  <c:v>1190</c:v>
                </c:pt>
                <c:pt idx="6">
                  <c:v>1330</c:v>
                </c:pt>
                <c:pt idx="7">
                  <c:v>1300</c:v>
                </c:pt>
                <c:pt idx="8">
                  <c:v>820</c:v>
                </c:pt>
                <c:pt idx="9">
                  <c:v>1310</c:v>
                </c:pt>
                <c:pt idx="10">
                  <c:v>40</c:v>
                </c:pt>
                <c:pt idx="11">
                  <c:v>880</c:v>
                </c:pt>
                <c:pt idx="12">
                  <c:v>1050</c:v>
                </c:pt>
                <c:pt idx="13">
                  <c:v>980</c:v>
                </c:pt>
                <c:pt idx="14">
                  <c:v>1590</c:v>
                </c:pt>
                <c:pt idx="15">
                  <c:v>1150</c:v>
                </c:pt>
                <c:pt idx="16">
                  <c:v>1030</c:v>
                </c:pt>
                <c:pt idx="17">
                  <c:v>1350</c:v>
                </c:pt>
                <c:pt idx="18">
                  <c:v>1240</c:v>
                </c:pt>
                <c:pt idx="19">
                  <c:v>1800</c:v>
                </c:pt>
                <c:pt idx="20">
                  <c:v>2190</c:v>
                </c:pt>
                <c:pt idx="21">
                  <c:v>1100</c:v>
                </c:pt>
                <c:pt idx="22">
                  <c:v>1020</c:v>
                </c:pt>
                <c:pt idx="23">
                  <c:v>1390</c:v>
                </c:pt>
                <c:pt idx="24">
                  <c:v>900</c:v>
                </c:pt>
                <c:pt idx="25">
                  <c:v>1020</c:v>
                </c:pt>
                <c:pt idx="26">
                  <c:v>1203</c:v>
                </c:pt>
                <c:pt idx="27">
                  <c:v>228</c:v>
                </c:pt>
                <c:pt idx="28">
                  <c:v>1955</c:v>
                </c:pt>
                <c:pt idx="29">
                  <c:v>1400</c:v>
                </c:pt>
                <c:pt idx="30">
                  <c:v>1240</c:v>
                </c:pt>
                <c:pt idx="31">
                  <c:v>1180</c:v>
                </c:pt>
                <c:pt idx="32">
                  <c:v>780</c:v>
                </c:pt>
                <c:pt idx="33">
                  <c:v>1130</c:v>
                </c:pt>
                <c:pt idx="34">
                  <c:v>1350</c:v>
                </c:pt>
                <c:pt idx="35">
                  <c:v>1170</c:v>
                </c:pt>
                <c:pt idx="36">
                  <c:v>930</c:v>
                </c:pt>
                <c:pt idx="37">
                  <c:v>930</c:v>
                </c:pt>
                <c:pt idx="38">
                  <c:v>2430</c:v>
                </c:pt>
                <c:pt idx="39">
                  <c:v>855</c:v>
                </c:pt>
              </c:numCache>
            </c:numRef>
          </c:xVal>
          <c:yVal>
            <c:numRef>
              <c:f>'SampleA Unmodified Material Gro'!$L$3:$L$42</c:f>
              <c:numCache>
                <c:formatCode>General</c:formatCode>
                <c:ptCount val="40"/>
                <c:pt idx="0">
                  <c:v>0.000858357505091282</c:v>
                </c:pt>
                <c:pt idx="1">
                  <c:v>0.000856547967488966</c:v>
                </c:pt>
                <c:pt idx="2">
                  <c:v>0.000776818439675672</c:v>
                </c:pt>
                <c:pt idx="3">
                  <c:v>9.64575822066346e-5</c:v>
                </c:pt>
                <c:pt idx="4">
                  <c:v>0.000472088036105563</c:v>
                </c:pt>
                <c:pt idx="5">
                  <c:v>0.000868712832758201</c:v>
                </c:pt>
                <c:pt idx="6">
                  <c:v>0.000827713412540288</c:v>
                </c:pt>
                <c:pt idx="7">
                  <c:v>0.000842902104781993</c:v>
                </c:pt>
                <c:pt idx="8">
                  <c:v>0.000631052265677567</c:v>
                </c:pt>
                <c:pt idx="9">
                  <c:v>0.000838205860208154</c:v>
                </c:pt>
                <c:pt idx="10">
                  <c:v>3.83541389735227e-5</c:v>
                </c:pt>
                <c:pt idx="11">
                  <c:v>0.000694588024124113</c:v>
                </c:pt>
                <c:pt idx="12">
                  <c:v>0.00083082383935024</c:v>
                </c:pt>
                <c:pt idx="13">
                  <c:v>0.000784673491843821</c:v>
                </c:pt>
                <c:pt idx="14">
                  <c:v>0.000591289335864892</c:v>
                </c:pt>
                <c:pt idx="15">
                  <c:v>0.000865887467815875</c:v>
                </c:pt>
                <c:pt idx="16">
                  <c:v>0.00081930803113162</c:v>
                </c:pt>
                <c:pt idx="17">
                  <c:v>0.000815803467741012</c:v>
                </c:pt>
                <c:pt idx="18">
                  <c:v>0.000863000698134503</c:v>
                </c:pt>
                <c:pt idx="19">
                  <c:v>0.000356601192014287</c:v>
                </c:pt>
                <c:pt idx="20">
                  <c:v>8.00528134928808e-5</c:v>
                </c:pt>
                <c:pt idx="21">
                  <c:v>0.000853216816541779</c:v>
                </c:pt>
                <c:pt idx="22">
                  <c:v>0.000813031624400972</c:v>
                </c:pt>
                <c:pt idx="23">
                  <c:v>0.000787998551328855</c:v>
                </c:pt>
                <c:pt idx="24">
                  <c:v>0.000714442234678061</c:v>
                </c:pt>
                <c:pt idx="25">
                  <c:v>0.000813031624400972</c:v>
                </c:pt>
                <c:pt idx="26">
                  <c:v>0.000868213612282226</c:v>
                </c:pt>
                <c:pt idx="27">
                  <c:v>9.80753573981876e-5</c:v>
                </c:pt>
                <c:pt idx="28">
                  <c:v>0.000214699031031056</c:v>
                </c:pt>
                <c:pt idx="29">
                  <c:v>0.0007802711439806</c:v>
                </c:pt>
                <c:pt idx="30">
                  <c:v>0.000863000698134503</c:v>
                </c:pt>
                <c:pt idx="31">
                  <c:v>0.00086862324227471</c:v>
                </c:pt>
                <c:pt idx="32">
                  <c:v>0.000586370296197926</c:v>
                </c:pt>
                <c:pt idx="33">
                  <c:v>0.000862022187516125</c:v>
                </c:pt>
                <c:pt idx="34">
                  <c:v>0.000815803467741012</c:v>
                </c:pt>
                <c:pt idx="35">
                  <c:v>0.00086812191211138</c:v>
                </c:pt>
                <c:pt idx="36">
                  <c:v>0.000742646846147367</c:v>
                </c:pt>
                <c:pt idx="37">
                  <c:v>0.000742646846147367</c:v>
                </c:pt>
                <c:pt idx="38">
                  <c:v>2.23060845239869e-5</c:v>
                </c:pt>
                <c:pt idx="39">
                  <c:v>0.000668758188102946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078318"/>
        <c:axId val="99155660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'SampleA Unmodified Material Gro'!$L$2</c15:sqref>
                        </c15:formulaRef>
                      </c:ext>
                    </c:extLst>
                    <c:strCache>
                      <c:ptCount val="1"/>
                      <c:pt idx="0">
                        <c:v>frequency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delete val="1"/>
                </c:dLbls>
                <c:xVal>
                  <c:numRef>
                    <c:numCache>
                      <c:formatCode>General</c:formatCode>
                      <c:ptCount val="40"/>
                      <c:pt idx="0">
                        <c:v>40000</c:v>
                      </c:pt>
                      <c:pt idx="1">
                        <c:v>228000</c:v>
                      </c:pt>
                      <c:pt idx="2">
                        <c:v>680000</c:v>
                      </c:pt>
                      <c:pt idx="3">
                        <c:v>780000</c:v>
                      </c:pt>
                      <c:pt idx="4">
                        <c:v>820000</c:v>
                      </c:pt>
                      <c:pt idx="5">
                        <c:v>855000</c:v>
                      </c:pt>
                      <c:pt idx="6">
                        <c:v>880000</c:v>
                      </c:pt>
                      <c:pt idx="7">
                        <c:v>900000</c:v>
                      </c:pt>
                      <c:pt idx="8">
                        <c:v>930000</c:v>
                      </c:pt>
                      <c:pt idx="9">
                        <c:v>930000</c:v>
                      </c:pt>
                      <c:pt idx="10">
                        <c:v>970000</c:v>
                      </c:pt>
                      <c:pt idx="11">
                        <c:v>980000</c:v>
                      </c:pt>
                      <c:pt idx="12">
                        <c:v>1020000</c:v>
                      </c:pt>
                      <c:pt idx="13">
                        <c:v>1020000</c:v>
                      </c:pt>
                      <c:pt idx="14">
                        <c:v>1030000</c:v>
                      </c:pt>
                      <c:pt idx="15">
                        <c:v>1050000</c:v>
                      </c:pt>
                      <c:pt idx="16">
                        <c:v>1100000</c:v>
                      </c:pt>
                      <c:pt idx="17">
                        <c:v>1110000</c:v>
                      </c:pt>
                      <c:pt idx="18">
                        <c:v>1116000</c:v>
                      </c:pt>
                      <c:pt idx="19">
                        <c:v>1130000</c:v>
                      </c:pt>
                      <c:pt idx="20">
                        <c:v>1150000</c:v>
                      </c:pt>
                      <c:pt idx="21">
                        <c:v>1170000</c:v>
                      </c:pt>
                      <c:pt idx="22">
                        <c:v>1180000</c:v>
                      </c:pt>
                      <c:pt idx="23">
                        <c:v>1190000</c:v>
                      </c:pt>
                      <c:pt idx="24">
                        <c:v>1203000</c:v>
                      </c:pt>
                      <c:pt idx="25">
                        <c:v>1240000</c:v>
                      </c:pt>
                      <c:pt idx="26">
                        <c:v>1240000</c:v>
                      </c:pt>
                      <c:pt idx="27">
                        <c:v>1300000</c:v>
                      </c:pt>
                      <c:pt idx="28">
                        <c:v>1310000</c:v>
                      </c:pt>
                      <c:pt idx="29">
                        <c:v>1330000</c:v>
                      </c:pt>
                      <c:pt idx="30">
                        <c:v>1350000</c:v>
                      </c:pt>
                      <c:pt idx="31">
                        <c:v>1350000</c:v>
                      </c:pt>
                      <c:pt idx="32">
                        <c:v>1390000</c:v>
                      </c:pt>
                      <c:pt idx="33">
                        <c:v>1400000</c:v>
                      </c:pt>
                      <c:pt idx="34">
                        <c:v>1590000</c:v>
                      </c:pt>
                      <c:pt idx="35">
                        <c:v>1800000</c:v>
                      </c:pt>
                      <c:pt idx="36">
                        <c:v>1955000</c:v>
                      </c:pt>
                      <c:pt idx="37">
                        <c:v>2150000</c:v>
                      </c:pt>
                      <c:pt idx="38">
                        <c:v>2190000</c:v>
                      </c:pt>
                      <c:pt idx="39">
                        <c:v>2430000</c:v>
                      </c:pt>
                    </c:numCache>
                  </c:numRef>
                </c:xVal>
                <c:yVal>
                  <c:numRef>
                    <c:numCache>
                      <c:formatCode>General</c:formatCode>
                      <c:ptCount val="40"/>
                      <c:pt idx="0">
                        <c:v>4.93138959255316e-8</c:v>
                      </c:pt>
                      <c:pt idx="1">
                        <c:v>1.20907344811226e-7</c:v>
                      </c:pt>
                      <c:pt idx="2">
                        <c:v>5.26021817220742e-7</c:v>
                      </c:pt>
                      <c:pt idx="3">
                        <c:v>6.38907043385411e-7</c:v>
                      </c:pt>
                      <c:pt idx="4">
                        <c:v>6.81467305171756e-7</c:v>
                      </c:pt>
                      <c:pt idx="5">
                        <c:v>7.16553364344622e-7</c:v>
                      </c:pt>
                      <c:pt idx="6">
                        <c:v>7.40078786406187e-7</c:v>
                      </c:pt>
                      <c:pt idx="7">
                        <c:v>7.57835202736255e-7</c:v>
                      </c:pt>
                      <c:pt idx="8">
                        <c:v>7.82484027479088e-7</c:v>
                      </c:pt>
                      <c:pt idx="9">
                        <c:v>7.82484027479088e-7</c:v>
                      </c:pt>
                      <c:pt idx="10">
                        <c:v>8.11197580466345e-7</c:v>
                      </c:pt>
                      <c:pt idx="11">
                        <c:v>8.17569341082336e-7</c:v>
                      </c:pt>
                      <c:pt idx="12">
                        <c:v>8.39570237689639e-7</c:v>
                      </c:pt>
                      <c:pt idx="13">
                        <c:v>8.39570237689639e-7</c:v>
                      </c:pt>
                      <c:pt idx="14">
                        <c:v>8.44161037180235e-7</c:v>
                      </c:pt>
                      <c:pt idx="15">
                        <c:v>8.52204907632665e-7</c:v>
                      </c:pt>
                      <c:pt idx="16">
                        <c:v>8.65439998679628e-7</c:v>
                      </c:pt>
                      <c:pt idx="17">
                        <c:v>8.66877519765466e-7</c:v>
                      </c:pt>
                      <c:pt idx="18">
                        <c:v>8.67543694798144e-7</c:v>
                      </c:pt>
                      <c:pt idx="19">
                        <c:v>8.68523325030821e-7</c:v>
                      </c:pt>
                      <c:pt idx="20">
                        <c:v>8.68523325030821e-7</c:v>
                      </c:pt>
                      <c:pt idx="21">
                        <c:v>8.66877519765466e-7</c:v>
                      </c:pt>
                      <c:pt idx="22">
                        <c:v>8.65439998679628e-7</c:v>
                      </c:pt>
                      <c:pt idx="23">
                        <c:v>8.63595259463916e-7</c:v>
                      </c:pt>
                      <c:pt idx="24">
                        <c:v>8.60592678372213e-7</c:v>
                      </c:pt>
                      <c:pt idx="25">
                        <c:v>8.48374556545147e-7</c:v>
                      </c:pt>
                      <c:pt idx="26">
                        <c:v>8.48374556545147e-7</c:v>
                      </c:pt>
                      <c:pt idx="27">
                        <c:v>8.17569341082336e-7</c:v>
                      </c:pt>
                      <c:pt idx="28">
                        <c:v>8.11197580466345e-7</c:v>
                      </c:pt>
                      <c:pt idx="29">
                        <c:v>7.97467396916921e-7</c:v>
                      </c:pt>
                      <c:pt idx="30">
                        <c:v>7.82484027479088e-7</c:v>
                      </c:pt>
                      <c:pt idx="31">
                        <c:v>7.82484027479088e-7</c:v>
                      </c:pt>
                      <c:pt idx="32">
                        <c:v>7.49081952211469e-7</c:v>
                      </c:pt>
                      <c:pt idx="33">
                        <c:v>7.40078786406187e-7</c:v>
                      </c:pt>
                      <c:pt idx="34">
                        <c:v>5.37494299819414e-7</c:v>
                      </c:pt>
                      <c:pt idx="35">
                        <c:v>3.09282255618798e-7</c:v>
                      </c:pt>
                      <c:pt idx="36">
                        <c:v>1.79863885853642e-7</c:v>
                      </c:pt>
                      <c:pt idx="37">
                        <c:v>7.73581212152914e-8</c:v>
                      </c:pt>
                      <c:pt idx="38">
                        <c:v>6.36297361231014e-8</c:v>
                      </c:pt>
                      <c:pt idx="39">
                        <c:v>1.6803151690601e-8</c:v>
                      </c:pt>
                    </c:numCache>
                  </c:numRef>
                </c:yVal>
                <c:smooth val="1"/>
              </c15:ser>
            </c15:filteredScatterSeries>
          </c:ext>
        </c:extLst>
      </c:scatterChart>
      <c:valAx>
        <c:axId val="234078318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1556600"/>
        <c:crosses val="autoZero"/>
        <c:crossBetween val="midCat"/>
      </c:valAx>
      <c:valAx>
        <c:axId val="99155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07831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199390</xdr:colOff>
      <xdr:row>42</xdr:row>
      <xdr:rowOff>56515</xdr:rowOff>
    </xdr:from>
    <xdr:to>
      <xdr:col>10</xdr:col>
      <xdr:colOff>700405</xdr:colOff>
      <xdr:row>66</xdr:row>
      <xdr:rowOff>177165</xdr:rowOff>
    </xdr:to>
    <xdr:graphicFrame>
      <xdr:nvGraphicFramePr>
        <xdr:cNvPr id="2" name="图表 1"/>
        <xdr:cNvGraphicFramePr/>
      </xdr:nvGraphicFramePr>
      <xdr:xfrm>
        <a:off x="199390" y="7737475"/>
        <a:ext cx="8936355" cy="450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olymer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qq&#25991;&#20214;\2847044283\FileRecv\[&#25913;]norma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N-poly"/>
    </sheetNames>
    <definedNames>
      <definedName name="Coord"/>
      <definedName name="Frequency"/>
      <definedName name="Norm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rmal distri UN-pol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2"/>
  <sheetViews>
    <sheetView topLeftCell="B1" workbookViewId="0">
      <selection activeCell="L3" sqref="L3"/>
    </sheetView>
  </sheetViews>
  <sheetFormatPr defaultColWidth="8.88888888888889" defaultRowHeight="14.4"/>
  <cols>
    <col min="2" max="2" width="12.8888888888889"/>
    <col min="3" max="3" width="23.3333333333333" customWidth="1"/>
    <col min="4" max="5" width="11.7777777777778" customWidth="1"/>
    <col min="6" max="6" width="11.3333333333333" customWidth="1"/>
    <col min="7" max="7" width="12.3333333333333" customWidth="1"/>
    <col min="8" max="8" width="12.8888888888889"/>
    <col min="11" max="12" width="12.8888888888889"/>
    <col min="24" max="24" width="12.8888888888889"/>
  </cols>
  <sheetData>
    <row r="1" spans="1:2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28" t="s">
        <v>1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>
      <c r="A2" s="22" t="s">
        <v>2</v>
      </c>
      <c r="B2" s="22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  <c r="H2" s="18" t="s">
        <v>9</v>
      </c>
      <c r="I2" s="18" t="s">
        <v>10</v>
      </c>
      <c r="J2" s="18" t="s">
        <v>11</v>
      </c>
      <c r="K2" s="18" t="s">
        <v>4</v>
      </c>
      <c r="L2" s="18" t="s">
        <v>12</v>
      </c>
      <c r="M2" s="22" t="s">
        <v>2</v>
      </c>
      <c r="N2" s="22" t="s">
        <v>3</v>
      </c>
      <c r="O2" s="18" t="s">
        <v>4</v>
      </c>
      <c r="P2" s="18" t="s">
        <v>5</v>
      </c>
      <c r="Q2" s="18" t="s">
        <v>6</v>
      </c>
      <c r="R2" s="18" t="s">
        <v>7</v>
      </c>
      <c r="S2" s="18" t="s">
        <v>8</v>
      </c>
      <c r="T2" s="18" t="s">
        <v>9</v>
      </c>
      <c r="U2" s="18" t="s">
        <v>10</v>
      </c>
      <c r="V2" s="18" t="s">
        <v>11</v>
      </c>
      <c r="W2" s="18" t="s">
        <v>4</v>
      </c>
      <c r="X2" s="18" t="s">
        <v>12</v>
      </c>
    </row>
    <row r="3" spans="1:24">
      <c r="A3" s="22" t="s">
        <v>13</v>
      </c>
      <c r="B3" s="23">
        <v>1116141.87949237</v>
      </c>
      <c r="C3" s="27">
        <v>1116</v>
      </c>
      <c r="D3" s="18">
        <v>10</v>
      </c>
      <c r="E3" s="18">
        <f>AVERAGE(C3:C42)</f>
        <v>1187.175</v>
      </c>
      <c r="F3" s="18">
        <f>MODE(C3:C42)</f>
        <v>1350</v>
      </c>
      <c r="G3" s="18">
        <f>MEDIAN(C3:C42)</f>
        <v>1140</v>
      </c>
      <c r="H3" s="18">
        <f>_xlfn.STDEV.S(C3:C42)</f>
        <v>459.225093541785</v>
      </c>
      <c r="I3" s="18"/>
      <c r="J3" s="18"/>
      <c r="K3" s="27">
        <v>1116</v>
      </c>
      <c r="L3" s="18">
        <f>_xlfn.NORM.DIST(K3,$E$3,$H$3,FALSE)</f>
        <v>0.000858357505091282</v>
      </c>
      <c r="M3" s="22" t="s">
        <v>13</v>
      </c>
      <c r="N3" s="23">
        <v>1116141.87949237</v>
      </c>
      <c r="O3" s="27">
        <v>1116</v>
      </c>
      <c r="P3" s="18">
        <v>10</v>
      </c>
      <c r="Q3" s="18">
        <f>AVERAGE(O3:O42)</f>
        <v>1213.675</v>
      </c>
      <c r="R3" s="18">
        <f>MODE(O3:O42)</f>
        <v>1170</v>
      </c>
      <c r="S3" s="18">
        <f>MEDIAN(O3:O42)</f>
        <v>1155</v>
      </c>
      <c r="T3" s="18">
        <f>_xlfn.STDEV.S(O3:O42)</f>
        <v>419.594394349151</v>
      </c>
      <c r="U3" s="18"/>
      <c r="V3" s="18"/>
      <c r="W3" s="27">
        <v>1116</v>
      </c>
      <c r="X3" s="18">
        <f>_xlfn.NORM.DIST(W3,$Q$3,$T$3,FALSE)</f>
        <v>0.000925365908148053</v>
      </c>
    </row>
    <row r="4" spans="1:24">
      <c r="A4" s="31" t="s">
        <v>14</v>
      </c>
      <c r="B4" s="32">
        <v>1114817.50993138</v>
      </c>
      <c r="C4" s="33">
        <v>1110</v>
      </c>
      <c r="D4" s="34">
        <v>20</v>
      </c>
      <c r="E4" s="18"/>
      <c r="F4" s="18"/>
      <c r="G4" s="18"/>
      <c r="H4" s="18"/>
      <c r="I4" s="18"/>
      <c r="J4" s="18"/>
      <c r="K4" s="33">
        <v>1110</v>
      </c>
      <c r="L4" s="18">
        <f t="shared" ref="L4:L42" si="0">_xlfn.NORM.DIST(K4,$E$3,$H$3,FALSE)</f>
        <v>0.000856547967488966</v>
      </c>
      <c r="M4" s="31" t="s">
        <v>14</v>
      </c>
      <c r="N4" s="32">
        <v>1116433.35490055</v>
      </c>
      <c r="O4" s="33">
        <v>1120</v>
      </c>
      <c r="P4" s="34">
        <v>30</v>
      </c>
      <c r="Q4" s="18"/>
      <c r="R4" s="18"/>
      <c r="S4" s="18"/>
      <c r="T4" s="18"/>
      <c r="U4" s="18"/>
      <c r="V4" s="18"/>
      <c r="W4" s="33">
        <v>1120</v>
      </c>
      <c r="X4" s="18">
        <f t="shared" ref="X4:X42" si="1">_xlfn.NORM.DIST(W4,$Q$3,$T$3,FALSE)</f>
        <v>0.000927379561458909</v>
      </c>
    </row>
    <row r="5" spans="1:24">
      <c r="A5" s="22" t="s">
        <v>15</v>
      </c>
      <c r="B5" s="23">
        <v>967491.833245258</v>
      </c>
      <c r="C5" s="27">
        <v>970</v>
      </c>
      <c r="D5" s="18">
        <v>20</v>
      </c>
      <c r="E5" s="18"/>
      <c r="F5" s="18"/>
      <c r="G5" s="18"/>
      <c r="H5" s="18"/>
      <c r="I5" s="18"/>
      <c r="J5" s="18"/>
      <c r="K5" s="27">
        <v>970</v>
      </c>
      <c r="L5" s="18">
        <f t="shared" si="0"/>
        <v>0.000776818439675672</v>
      </c>
      <c r="M5" s="22" t="s">
        <v>15</v>
      </c>
      <c r="N5" s="23">
        <v>967491.833245258</v>
      </c>
      <c r="O5" s="27">
        <v>970</v>
      </c>
      <c r="P5" s="18">
        <v>20</v>
      </c>
      <c r="Q5" s="18"/>
      <c r="R5" s="18"/>
      <c r="S5" s="18"/>
      <c r="T5" s="18"/>
      <c r="U5" s="18"/>
      <c r="V5" s="18"/>
      <c r="W5" s="27">
        <v>970</v>
      </c>
      <c r="X5" s="18">
        <f t="shared" si="1"/>
        <v>0.000803240666354416</v>
      </c>
    </row>
    <row r="6" spans="1:24">
      <c r="A6" s="22" t="s">
        <v>16</v>
      </c>
      <c r="B6" s="23">
        <v>2147888.96501817</v>
      </c>
      <c r="C6" s="27">
        <v>2150</v>
      </c>
      <c r="D6" s="18">
        <v>10</v>
      </c>
      <c r="E6" s="18"/>
      <c r="F6" s="18"/>
      <c r="G6" s="18"/>
      <c r="H6" s="18"/>
      <c r="I6" s="18"/>
      <c r="J6" s="18"/>
      <c r="K6" s="27">
        <v>2150</v>
      </c>
      <c r="L6" s="18">
        <f t="shared" si="0"/>
        <v>9.64575822066346e-5</v>
      </c>
      <c r="M6" s="22" t="s">
        <v>16</v>
      </c>
      <c r="N6" s="23">
        <v>2147888.96501817</v>
      </c>
      <c r="O6" s="27">
        <v>2150</v>
      </c>
      <c r="P6" s="18">
        <v>10</v>
      </c>
      <c r="Q6" s="18"/>
      <c r="R6" s="18"/>
      <c r="S6" s="18"/>
      <c r="T6" s="18"/>
      <c r="U6" s="18"/>
      <c r="V6" s="18"/>
      <c r="W6" s="27">
        <v>2150</v>
      </c>
      <c r="X6" s="18">
        <f t="shared" si="1"/>
        <v>7.88452289063299e-5</v>
      </c>
    </row>
    <row r="7" spans="1:24">
      <c r="A7" s="22" t="s">
        <v>17</v>
      </c>
      <c r="B7" s="23">
        <v>682166.308354486</v>
      </c>
      <c r="C7" s="27">
        <v>680</v>
      </c>
      <c r="D7" s="18">
        <v>20</v>
      </c>
      <c r="E7" s="18"/>
      <c r="F7" s="18"/>
      <c r="G7" s="18"/>
      <c r="H7" s="18"/>
      <c r="I7" s="18"/>
      <c r="J7" s="18"/>
      <c r="K7" s="27">
        <v>680</v>
      </c>
      <c r="L7" s="18">
        <f t="shared" si="0"/>
        <v>0.000472088036105563</v>
      </c>
      <c r="M7" s="22" t="s">
        <v>17</v>
      </c>
      <c r="N7" s="23">
        <v>682166.308354486</v>
      </c>
      <c r="O7" s="27">
        <v>680</v>
      </c>
      <c r="P7" s="18">
        <v>20</v>
      </c>
      <c r="Q7" s="18"/>
      <c r="R7" s="18"/>
      <c r="S7" s="18"/>
      <c r="T7" s="18"/>
      <c r="U7" s="18"/>
      <c r="V7" s="18"/>
      <c r="W7" s="27">
        <v>680</v>
      </c>
      <c r="X7" s="18">
        <f t="shared" si="1"/>
        <v>0.000423452037694436</v>
      </c>
    </row>
    <row r="8" spans="1:24">
      <c r="A8" s="35" t="s">
        <v>18</v>
      </c>
      <c r="B8" s="36">
        <v>1189189.19531756</v>
      </c>
      <c r="C8" s="37">
        <v>1190</v>
      </c>
      <c r="D8" s="37">
        <v>20</v>
      </c>
      <c r="E8" s="18"/>
      <c r="F8" s="18"/>
      <c r="G8" s="18"/>
      <c r="H8" s="18"/>
      <c r="I8" s="18"/>
      <c r="J8" s="18"/>
      <c r="K8" s="37">
        <v>1190</v>
      </c>
      <c r="L8" s="18">
        <f t="shared" si="0"/>
        <v>0.000868712832758201</v>
      </c>
      <c r="M8" s="35" t="s">
        <v>18</v>
      </c>
      <c r="N8" s="36">
        <v>1169983.37863909</v>
      </c>
      <c r="O8" s="37">
        <v>1170</v>
      </c>
      <c r="P8" s="37">
        <v>20</v>
      </c>
      <c r="Q8" s="18"/>
      <c r="R8" s="18"/>
      <c r="S8" s="18"/>
      <c r="T8" s="18"/>
      <c r="U8" s="18"/>
      <c r="V8" s="18"/>
      <c r="W8" s="37">
        <v>1170</v>
      </c>
      <c r="X8" s="18">
        <f t="shared" si="1"/>
        <v>0.000945644104893595</v>
      </c>
    </row>
    <row r="9" spans="1:24">
      <c r="A9" s="22" t="s">
        <v>19</v>
      </c>
      <c r="B9" s="23">
        <v>1329349.44103201</v>
      </c>
      <c r="C9" s="27">
        <v>1330</v>
      </c>
      <c r="D9" s="18">
        <v>40</v>
      </c>
      <c r="E9" s="18"/>
      <c r="F9" s="18"/>
      <c r="G9" s="18"/>
      <c r="H9" s="18"/>
      <c r="I9" s="18"/>
      <c r="J9" s="18"/>
      <c r="K9" s="27">
        <v>1330</v>
      </c>
      <c r="L9" s="18">
        <f t="shared" si="0"/>
        <v>0.000827713412540288</v>
      </c>
      <c r="M9" s="22" t="s">
        <v>19</v>
      </c>
      <c r="N9" s="23">
        <v>1329349.44103201</v>
      </c>
      <c r="O9" s="27">
        <v>1330</v>
      </c>
      <c r="P9" s="18">
        <v>40</v>
      </c>
      <c r="Q9" s="18"/>
      <c r="R9" s="18"/>
      <c r="S9" s="18"/>
      <c r="T9" s="18"/>
      <c r="U9" s="18"/>
      <c r="V9" s="18"/>
      <c r="W9" s="27">
        <v>1330</v>
      </c>
      <c r="X9" s="18">
        <f t="shared" si="1"/>
        <v>0.000914936544309686</v>
      </c>
    </row>
    <row r="10" spans="1:24">
      <c r="A10" s="22" t="s">
        <v>20</v>
      </c>
      <c r="B10" s="23">
        <v>1299239.51392256</v>
      </c>
      <c r="C10" s="27">
        <v>1300</v>
      </c>
      <c r="D10" s="18">
        <v>20</v>
      </c>
      <c r="E10" s="18"/>
      <c r="F10" s="18"/>
      <c r="G10" s="18"/>
      <c r="H10" s="18"/>
      <c r="I10" s="18"/>
      <c r="J10" s="18"/>
      <c r="K10" s="27">
        <v>1300</v>
      </c>
      <c r="L10" s="18">
        <f t="shared" si="0"/>
        <v>0.000842902104781993</v>
      </c>
      <c r="M10" s="22" t="s">
        <v>20</v>
      </c>
      <c r="N10" s="23">
        <v>1299239.51392256</v>
      </c>
      <c r="O10" s="27">
        <v>1300</v>
      </c>
      <c r="P10" s="18">
        <v>20</v>
      </c>
      <c r="Q10" s="18"/>
      <c r="R10" s="18"/>
      <c r="S10" s="18"/>
      <c r="T10" s="18"/>
      <c r="U10" s="18"/>
      <c r="V10" s="18"/>
      <c r="W10" s="27">
        <v>1300</v>
      </c>
      <c r="X10" s="18">
        <f t="shared" si="1"/>
        <v>0.00093087051562134</v>
      </c>
    </row>
    <row r="11" spans="1:24">
      <c r="A11" s="22" t="s">
        <v>21</v>
      </c>
      <c r="B11" s="23">
        <v>818491.772542247</v>
      </c>
      <c r="C11" s="27">
        <v>820</v>
      </c>
      <c r="D11" s="18">
        <v>20</v>
      </c>
      <c r="E11" s="18"/>
      <c r="F11" s="18"/>
      <c r="G11" s="18"/>
      <c r="H11" s="18"/>
      <c r="I11" s="18"/>
      <c r="J11" s="18"/>
      <c r="K11" s="27">
        <v>820</v>
      </c>
      <c r="L11" s="18">
        <f t="shared" si="0"/>
        <v>0.000631052265677567</v>
      </c>
      <c r="M11" s="22" t="s">
        <v>21</v>
      </c>
      <c r="N11" s="23">
        <v>818491.772542247</v>
      </c>
      <c r="O11" s="27">
        <v>820</v>
      </c>
      <c r="P11" s="18">
        <v>20</v>
      </c>
      <c r="Q11" s="18"/>
      <c r="R11" s="18"/>
      <c r="S11" s="18"/>
      <c r="T11" s="18"/>
      <c r="U11" s="18"/>
      <c r="V11" s="18"/>
      <c r="W11" s="27">
        <v>820</v>
      </c>
      <c r="X11" s="18">
        <f t="shared" si="1"/>
        <v>0.000612254524720005</v>
      </c>
    </row>
    <row r="12" spans="1:24">
      <c r="A12" s="22" t="s">
        <v>22</v>
      </c>
      <c r="B12" s="23">
        <v>1308757.08715405</v>
      </c>
      <c r="C12" s="27">
        <v>1310</v>
      </c>
      <c r="D12" s="18">
        <v>20</v>
      </c>
      <c r="E12" s="18"/>
      <c r="F12" s="18"/>
      <c r="G12" s="18"/>
      <c r="H12" s="18"/>
      <c r="I12" s="18"/>
      <c r="J12" s="18"/>
      <c r="K12" s="27">
        <v>1310</v>
      </c>
      <c r="L12" s="18">
        <f t="shared" si="0"/>
        <v>0.000838205860208154</v>
      </c>
      <c r="M12" s="22" t="s">
        <v>22</v>
      </c>
      <c r="N12" s="23">
        <v>1308757.08715405</v>
      </c>
      <c r="O12" s="27">
        <v>1310</v>
      </c>
      <c r="P12" s="18">
        <v>20</v>
      </c>
      <c r="Q12" s="18"/>
      <c r="R12" s="18"/>
      <c r="S12" s="18"/>
      <c r="T12" s="18"/>
      <c r="U12" s="18"/>
      <c r="V12" s="18"/>
      <c r="W12" s="27">
        <v>1310</v>
      </c>
      <c r="X12" s="18">
        <f t="shared" si="1"/>
        <v>0.000926054435446282</v>
      </c>
    </row>
    <row r="13" spans="1:24">
      <c r="A13" s="31" t="s">
        <v>23</v>
      </c>
      <c r="B13" s="32">
        <v>42049.9755022048</v>
      </c>
      <c r="C13" s="33">
        <v>40</v>
      </c>
      <c r="D13" s="34">
        <v>10</v>
      </c>
      <c r="E13" s="18"/>
      <c r="F13" s="18"/>
      <c r="G13" s="18"/>
      <c r="H13" s="18"/>
      <c r="I13" s="18"/>
      <c r="J13" s="18"/>
      <c r="K13" s="33">
        <v>40</v>
      </c>
      <c r="L13" s="18">
        <f t="shared" si="0"/>
        <v>3.83541389735227e-5</v>
      </c>
      <c r="M13" s="31" t="s">
        <v>23</v>
      </c>
      <c r="N13" s="32">
        <v>1163288.58402744</v>
      </c>
      <c r="O13" s="33">
        <v>1160</v>
      </c>
      <c r="P13" s="34">
        <v>10</v>
      </c>
      <c r="Q13" s="18"/>
      <c r="R13" s="18"/>
      <c r="S13" s="18"/>
      <c r="T13" s="18"/>
      <c r="U13" s="18"/>
      <c r="V13" s="18"/>
      <c r="W13" s="33">
        <v>1160</v>
      </c>
      <c r="X13" s="18">
        <f t="shared" si="1"/>
        <v>0.000943033301804013</v>
      </c>
    </row>
    <row r="14" spans="1:24">
      <c r="A14" s="22" t="s">
        <v>24</v>
      </c>
      <c r="B14" s="23">
        <v>884135.666344665</v>
      </c>
      <c r="C14" s="27">
        <v>880</v>
      </c>
      <c r="D14" s="18">
        <v>10</v>
      </c>
      <c r="E14" s="18"/>
      <c r="F14" s="18"/>
      <c r="G14" s="18"/>
      <c r="H14" s="18"/>
      <c r="I14" s="18"/>
      <c r="J14" s="18"/>
      <c r="K14" s="27">
        <v>880</v>
      </c>
      <c r="L14" s="18">
        <f t="shared" si="0"/>
        <v>0.000694588024124113</v>
      </c>
      <c r="M14" s="22" t="s">
        <v>24</v>
      </c>
      <c r="N14" s="23">
        <v>884135.666344665</v>
      </c>
      <c r="O14" s="27">
        <v>880</v>
      </c>
      <c r="P14" s="18">
        <v>10</v>
      </c>
      <c r="Q14" s="18"/>
      <c r="R14" s="18"/>
      <c r="S14" s="18"/>
      <c r="T14" s="18"/>
      <c r="U14" s="18"/>
      <c r="V14" s="18"/>
      <c r="W14" s="27">
        <v>880</v>
      </c>
      <c r="X14" s="18">
        <f t="shared" si="1"/>
        <v>0.000693039039269616</v>
      </c>
    </row>
    <row r="15" spans="1:24">
      <c r="A15" s="22" t="s">
        <v>25</v>
      </c>
      <c r="B15" s="23">
        <v>1049871.2565402</v>
      </c>
      <c r="C15" s="27">
        <v>1050</v>
      </c>
      <c r="D15" s="18">
        <v>20</v>
      </c>
      <c r="E15" s="18"/>
      <c r="F15" s="18"/>
      <c r="G15" s="18"/>
      <c r="H15" s="18"/>
      <c r="I15" s="18"/>
      <c r="J15" s="18"/>
      <c r="K15" s="27">
        <v>1050</v>
      </c>
      <c r="L15" s="18">
        <f t="shared" si="0"/>
        <v>0.00083082383935024</v>
      </c>
      <c r="M15" s="22" t="s">
        <v>25</v>
      </c>
      <c r="N15" s="23">
        <v>1049871.2565402</v>
      </c>
      <c r="O15" s="27">
        <v>1050</v>
      </c>
      <c r="P15" s="18">
        <v>20</v>
      </c>
      <c r="Q15" s="18"/>
      <c r="R15" s="18"/>
      <c r="S15" s="18"/>
      <c r="T15" s="18"/>
      <c r="U15" s="18"/>
      <c r="V15" s="18"/>
      <c r="W15" s="27">
        <v>1050</v>
      </c>
      <c r="X15" s="18">
        <f t="shared" si="1"/>
        <v>0.000881127783537246</v>
      </c>
    </row>
    <row r="16" spans="1:24">
      <c r="A16" s="22" t="s">
        <v>26</v>
      </c>
      <c r="B16" s="23">
        <v>977660.047112581</v>
      </c>
      <c r="C16" s="27">
        <v>980</v>
      </c>
      <c r="D16" s="18">
        <v>10</v>
      </c>
      <c r="E16" s="18"/>
      <c r="F16" s="18"/>
      <c r="G16" s="18"/>
      <c r="H16" s="18"/>
      <c r="I16" s="18"/>
      <c r="J16" s="18"/>
      <c r="K16" s="27">
        <v>980</v>
      </c>
      <c r="L16" s="18">
        <f t="shared" si="0"/>
        <v>0.000784673491843821</v>
      </c>
      <c r="M16" s="22" t="s">
        <v>26</v>
      </c>
      <c r="N16" s="23">
        <v>977660.047112581</v>
      </c>
      <c r="O16" s="27">
        <v>980</v>
      </c>
      <c r="P16" s="18">
        <v>10</v>
      </c>
      <c r="Q16" s="18"/>
      <c r="R16" s="18"/>
      <c r="S16" s="18"/>
      <c r="T16" s="18"/>
      <c r="U16" s="18"/>
      <c r="V16" s="18"/>
      <c r="W16" s="27">
        <v>980</v>
      </c>
      <c r="X16" s="18">
        <f t="shared" si="1"/>
        <v>0.000814203942316535</v>
      </c>
    </row>
    <row r="17" spans="1:24">
      <c r="A17" s="22" t="s">
        <v>27</v>
      </c>
      <c r="B17" s="23">
        <v>1592378.22685194</v>
      </c>
      <c r="C17" s="27">
        <v>1590</v>
      </c>
      <c r="D17" s="18">
        <v>20</v>
      </c>
      <c r="E17" s="18"/>
      <c r="F17" s="18"/>
      <c r="G17" s="18"/>
      <c r="H17" s="18"/>
      <c r="I17" s="18"/>
      <c r="J17" s="18"/>
      <c r="K17" s="27">
        <v>1590</v>
      </c>
      <c r="L17" s="18">
        <f t="shared" si="0"/>
        <v>0.000591289335864892</v>
      </c>
      <c r="M17" s="22" t="s">
        <v>27</v>
      </c>
      <c r="N17" s="23">
        <v>1592378.22685194</v>
      </c>
      <c r="O17" s="27">
        <v>1590</v>
      </c>
      <c r="P17" s="18">
        <v>20</v>
      </c>
      <c r="Q17" s="18"/>
      <c r="R17" s="18"/>
      <c r="S17" s="18"/>
      <c r="T17" s="18"/>
      <c r="U17" s="18"/>
      <c r="V17" s="18"/>
      <c r="W17" s="27">
        <v>1590</v>
      </c>
      <c r="X17" s="18">
        <f t="shared" si="1"/>
        <v>0.000635929936313874</v>
      </c>
    </row>
    <row r="18" spans="1:24">
      <c r="A18" s="22" t="s">
        <v>28</v>
      </c>
      <c r="B18" s="23">
        <v>1149274.96484704</v>
      </c>
      <c r="C18" s="27">
        <v>1150</v>
      </c>
      <c r="D18" s="18">
        <v>30</v>
      </c>
      <c r="E18" s="18"/>
      <c r="F18" s="18"/>
      <c r="G18" s="18"/>
      <c r="H18" s="18"/>
      <c r="I18" s="18"/>
      <c r="J18" s="18"/>
      <c r="K18" s="27">
        <v>1150</v>
      </c>
      <c r="L18" s="18">
        <f t="shared" si="0"/>
        <v>0.000865887467815875</v>
      </c>
      <c r="M18" s="22" t="s">
        <v>28</v>
      </c>
      <c r="N18" s="23">
        <v>1149274.96484704</v>
      </c>
      <c r="O18" s="27">
        <v>1150</v>
      </c>
      <c r="P18" s="18">
        <v>30</v>
      </c>
      <c r="Q18" s="18"/>
      <c r="R18" s="18"/>
      <c r="S18" s="18"/>
      <c r="T18" s="18"/>
      <c r="U18" s="18"/>
      <c r="V18" s="18"/>
      <c r="W18" s="27">
        <v>1150</v>
      </c>
      <c r="X18" s="18">
        <f t="shared" si="1"/>
        <v>0.000939895703863933</v>
      </c>
    </row>
    <row r="19" spans="1:24">
      <c r="A19" s="22" t="s">
        <v>29</v>
      </c>
      <c r="B19" s="23">
        <v>1030726.65979971</v>
      </c>
      <c r="C19" s="27">
        <v>1030</v>
      </c>
      <c r="D19" s="18">
        <v>10</v>
      </c>
      <c r="E19" s="18"/>
      <c r="F19" s="18"/>
      <c r="G19" s="18"/>
      <c r="H19" s="18"/>
      <c r="I19" s="18"/>
      <c r="J19" s="18"/>
      <c r="K19" s="27">
        <v>1030</v>
      </c>
      <c r="L19" s="18">
        <f t="shared" si="0"/>
        <v>0.00081930803113162</v>
      </c>
      <c r="M19" s="22" t="s">
        <v>29</v>
      </c>
      <c r="N19" s="23">
        <v>1030726.65979971</v>
      </c>
      <c r="O19" s="27">
        <v>1030</v>
      </c>
      <c r="P19" s="18">
        <v>10</v>
      </c>
      <c r="Q19" s="18"/>
      <c r="R19" s="18"/>
      <c r="S19" s="18"/>
      <c r="T19" s="18"/>
      <c r="U19" s="18"/>
      <c r="V19" s="18"/>
      <c r="W19" s="27">
        <v>1030</v>
      </c>
      <c r="X19" s="18">
        <f t="shared" si="1"/>
        <v>0.00086391426066597</v>
      </c>
    </row>
    <row r="20" spans="1:24">
      <c r="A20" s="22" t="s">
        <v>30</v>
      </c>
      <c r="B20" s="23">
        <v>1346348.37368701</v>
      </c>
      <c r="C20" s="27">
        <v>1350</v>
      </c>
      <c r="D20" s="18">
        <v>10</v>
      </c>
      <c r="E20" s="18"/>
      <c r="F20" s="18"/>
      <c r="G20" s="18"/>
      <c r="H20" s="18"/>
      <c r="I20" s="18"/>
      <c r="J20" s="18"/>
      <c r="K20" s="27">
        <v>1350</v>
      </c>
      <c r="L20" s="18">
        <f t="shared" si="0"/>
        <v>0.000815803467741012</v>
      </c>
      <c r="M20" s="22" t="s">
        <v>30</v>
      </c>
      <c r="N20" s="23">
        <v>1346348.37368701</v>
      </c>
      <c r="O20" s="27">
        <v>1350</v>
      </c>
      <c r="P20" s="18">
        <v>10</v>
      </c>
      <c r="Q20" s="18"/>
      <c r="R20" s="18"/>
      <c r="S20" s="18"/>
      <c r="T20" s="18"/>
      <c r="U20" s="18"/>
      <c r="V20" s="18"/>
      <c r="W20" s="27">
        <v>1350</v>
      </c>
      <c r="X20" s="18">
        <f t="shared" si="1"/>
        <v>0.000901900719124239</v>
      </c>
    </row>
    <row r="21" spans="1:24">
      <c r="A21" s="22" t="s">
        <v>31</v>
      </c>
      <c r="B21" s="23">
        <v>1238740.5718422</v>
      </c>
      <c r="C21" s="27">
        <v>1240</v>
      </c>
      <c r="D21" s="18">
        <v>20</v>
      </c>
      <c r="E21" s="18"/>
      <c r="F21" s="18"/>
      <c r="G21" s="18"/>
      <c r="H21" s="18"/>
      <c r="I21" s="18"/>
      <c r="J21" s="18"/>
      <c r="K21" s="27">
        <v>1240</v>
      </c>
      <c r="L21" s="18">
        <f t="shared" si="0"/>
        <v>0.000863000698134503</v>
      </c>
      <c r="M21" s="22" t="s">
        <v>31</v>
      </c>
      <c r="N21" s="23">
        <v>1238740.5718422</v>
      </c>
      <c r="O21" s="27">
        <v>1240</v>
      </c>
      <c r="P21" s="18">
        <v>20</v>
      </c>
      <c r="Q21" s="18"/>
      <c r="R21" s="18"/>
      <c r="S21" s="18"/>
      <c r="T21" s="18"/>
      <c r="U21" s="18"/>
      <c r="V21" s="18"/>
      <c r="W21" s="27">
        <v>1240</v>
      </c>
      <c r="X21" s="18">
        <f t="shared" si="1"/>
        <v>0.0009489113752306</v>
      </c>
    </row>
    <row r="22" spans="1:24">
      <c r="A22" s="22" t="s">
        <v>32</v>
      </c>
      <c r="B22" s="23">
        <v>1802542.0979021</v>
      </c>
      <c r="C22" s="27">
        <v>1800</v>
      </c>
      <c r="D22" s="18">
        <v>10</v>
      </c>
      <c r="E22" s="18"/>
      <c r="F22" s="18"/>
      <c r="G22" s="18"/>
      <c r="H22" s="18"/>
      <c r="I22" s="18"/>
      <c r="J22" s="18"/>
      <c r="K22" s="27">
        <v>1800</v>
      </c>
      <c r="L22" s="18">
        <f t="shared" si="0"/>
        <v>0.000356601192014287</v>
      </c>
      <c r="M22" s="22" t="s">
        <v>32</v>
      </c>
      <c r="N22" s="23">
        <v>1802542.0979021</v>
      </c>
      <c r="O22" s="27">
        <v>1800</v>
      </c>
      <c r="P22" s="18">
        <v>10</v>
      </c>
      <c r="Q22" s="18"/>
      <c r="R22" s="18"/>
      <c r="S22" s="18"/>
      <c r="T22" s="18"/>
      <c r="U22" s="18"/>
      <c r="V22" s="18"/>
      <c r="W22" s="27">
        <v>1800</v>
      </c>
      <c r="X22" s="18">
        <f t="shared" si="1"/>
        <v>0.000358157953897953</v>
      </c>
    </row>
    <row r="23" spans="1:24">
      <c r="A23" s="22" t="s">
        <v>33</v>
      </c>
      <c r="B23" s="22">
        <v>2194361.55131295</v>
      </c>
      <c r="C23" s="22">
        <v>2190</v>
      </c>
      <c r="D23" s="22">
        <v>30</v>
      </c>
      <c r="E23" s="18"/>
      <c r="F23" s="18"/>
      <c r="G23" s="18"/>
      <c r="H23" s="18"/>
      <c r="I23" s="18"/>
      <c r="J23" s="18"/>
      <c r="K23" s="22">
        <v>2190</v>
      </c>
      <c r="L23" s="18">
        <f t="shared" si="0"/>
        <v>8.00528134928808e-5</v>
      </c>
      <c r="M23" s="22" t="s">
        <v>33</v>
      </c>
      <c r="N23" s="22">
        <v>2194361.55131295</v>
      </c>
      <c r="O23" s="22">
        <v>2190</v>
      </c>
      <c r="P23" s="22">
        <v>30</v>
      </c>
      <c r="Q23" s="18"/>
      <c r="R23" s="18"/>
      <c r="S23" s="18"/>
      <c r="T23" s="18"/>
      <c r="U23" s="18"/>
      <c r="V23" s="18"/>
      <c r="W23" s="22">
        <v>2190</v>
      </c>
      <c r="X23" s="18">
        <f t="shared" si="1"/>
        <v>6.34475519291324e-5</v>
      </c>
    </row>
    <row r="24" spans="1:24">
      <c r="A24" s="22" t="s">
        <v>34</v>
      </c>
      <c r="B24" s="22">
        <v>1097940.66159592</v>
      </c>
      <c r="C24" s="22">
        <v>1100</v>
      </c>
      <c r="D24" s="22">
        <v>20</v>
      </c>
      <c r="E24" s="18"/>
      <c r="F24" s="18"/>
      <c r="G24" s="18"/>
      <c r="H24" s="18"/>
      <c r="I24" s="18"/>
      <c r="J24" s="18"/>
      <c r="K24" s="22">
        <v>1100</v>
      </c>
      <c r="L24" s="18">
        <f t="shared" si="0"/>
        <v>0.000853216816541779</v>
      </c>
      <c r="M24" s="22" t="s">
        <v>34</v>
      </c>
      <c r="N24" s="22">
        <v>1097940.66159592</v>
      </c>
      <c r="O24" s="22">
        <v>1100</v>
      </c>
      <c r="P24" s="22">
        <v>20</v>
      </c>
      <c r="Q24" s="18"/>
      <c r="R24" s="18"/>
      <c r="S24" s="18"/>
      <c r="T24" s="18"/>
      <c r="U24" s="18"/>
      <c r="V24" s="18"/>
      <c r="W24" s="22">
        <v>1100</v>
      </c>
      <c r="X24" s="18">
        <f t="shared" si="1"/>
        <v>0.00091652162457468</v>
      </c>
    </row>
    <row r="25" spans="1:24">
      <c r="A25" s="22" t="s">
        <v>35</v>
      </c>
      <c r="B25" s="22">
        <v>1023488.09943237</v>
      </c>
      <c r="C25" s="22">
        <v>1020</v>
      </c>
      <c r="D25" s="22">
        <v>20</v>
      </c>
      <c r="E25" s="18"/>
      <c r="F25" s="18"/>
      <c r="G25" s="18"/>
      <c r="H25" s="18"/>
      <c r="I25" s="18"/>
      <c r="J25" s="18"/>
      <c r="K25" s="22">
        <v>1020</v>
      </c>
      <c r="L25" s="18">
        <f t="shared" si="0"/>
        <v>0.000813031624400972</v>
      </c>
      <c r="M25" s="22" t="s">
        <v>35</v>
      </c>
      <c r="N25" s="22">
        <v>1023488.09943237</v>
      </c>
      <c r="O25" s="22">
        <v>1020</v>
      </c>
      <c r="P25" s="22">
        <v>20</v>
      </c>
      <c r="Q25" s="18"/>
      <c r="R25" s="18"/>
      <c r="S25" s="18"/>
      <c r="T25" s="18"/>
      <c r="U25" s="18"/>
      <c r="V25" s="18"/>
      <c r="W25" s="22">
        <v>1020</v>
      </c>
      <c r="X25" s="18">
        <f t="shared" si="1"/>
        <v>0.000854705511246902</v>
      </c>
    </row>
    <row r="26" spans="1:24">
      <c r="A26" s="22" t="s">
        <v>36</v>
      </c>
      <c r="B26" s="22">
        <v>1387986.57613752</v>
      </c>
      <c r="C26" s="22">
        <v>1390</v>
      </c>
      <c r="D26" s="22">
        <v>10</v>
      </c>
      <c r="E26" s="18"/>
      <c r="F26" s="18"/>
      <c r="G26" s="18"/>
      <c r="H26" s="18"/>
      <c r="I26" s="18"/>
      <c r="J26" s="18"/>
      <c r="K26" s="22">
        <v>1390</v>
      </c>
      <c r="L26" s="18">
        <f t="shared" si="0"/>
        <v>0.000787998551328855</v>
      </c>
      <c r="M26" s="22" t="s">
        <v>36</v>
      </c>
      <c r="N26" s="22">
        <v>1387986.57613752</v>
      </c>
      <c r="O26" s="22">
        <v>1390</v>
      </c>
      <c r="P26" s="22">
        <v>10</v>
      </c>
      <c r="Q26" s="18"/>
      <c r="R26" s="18"/>
      <c r="S26" s="18"/>
      <c r="T26" s="18"/>
      <c r="U26" s="18"/>
      <c r="V26" s="18"/>
      <c r="W26" s="22">
        <v>1390</v>
      </c>
      <c r="X26" s="18">
        <f t="shared" si="1"/>
        <v>0.000870430603249501</v>
      </c>
    </row>
    <row r="27" spans="1:24">
      <c r="A27" s="22" t="s">
        <v>37</v>
      </c>
      <c r="B27" s="22">
        <v>896744.280361472</v>
      </c>
      <c r="C27" s="22">
        <v>900</v>
      </c>
      <c r="D27" s="22">
        <v>30</v>
      </c>
      <c r="E27" s="18"/>
      <c r="F27" s="18"/>
      <c r="G27" s="18"/>
      <c r="H27" s="18"/>
      <c r="I27" s="18"/>
      <c r="J27" s="18"/>
      <c r="K27" s="22">
        <v>900</v>
      </c>
      <c r="L27" s="18">
        <f t="shared" si="0"/>
        <v>0.000714442234678061</v>
      </c>
      <c r="M27" s="22" t="s">
        <v>37</v>
      </c>
      <c r="N27" s="22">
        <v>896744.280361472</v>
      </c>
      <c r="O27" s="22">
        <v>900</v>
      </c>
      <c r="P27" s="22">
        <v>30</v>
      </c>
      <c r="Q27" s="18"/>
      <c r="R27" s="18"/>
      <c r="S27" s="18"/>
      <c r="T27" s="18"/>
      <c r="U27" s="18"/>
      <c r="V27" s="18"/>
      <c r="W27" s="22">
        <v>900</v>
      </c>
      <c r="X27" s="18">
        <f t="shared" si="1"/>
        <v>0.000718995543992511</v>
      </c>
    </row>
    <row r="28" spans="1:24">
      <c r="A28" s="22" t="s">
        <v>38</v>
      </c>
      <c r="B28" s="22">
        <v>1024176.0989011</v>
      </c>
      <c r="C28" s="22">
        <v>1020</v>
      </c>
      <c r="D28" s="22">
        <v>10</v>
      </c>
      <c r="E28" s="18"/>
      <c r="F28" s="18"/>
      <c r="G28" s="18"/>
      <c r="H28" s="18"/>
      <c r="I28" s="18"/>
      <c r="J28" s="18"/>
      <c r="K28" s="22">
        <v>1020</v>
      </c>
      <c r="L28" s="18">
        <f t="shared" si="0"/>
        <v>0.000813031624400972</v>
      </c>
      <c r="M28" s="22" t="s">
        <v>38</v>
      </c>
      <c r="N28" s="22">
        <v>1024176.0989011</v>
      </c>
      <c r="O28" s="22">
        <v>1020</v>
      </c>
      <c r="P28" s="22">
        <v>10</v>
      </c>
      <c r="Q28" s="18"/>
      <c r="R28" s="18"/>
      <c r="S28" s="18"/>
      <c r="T28" s="18"/>
      <c r="U28" s="18"/>
      <c r="V28" s="18"/>
      <c r="W28" s="22">
        <v>1020</v>
      </c>
      <c r="X28" s="18">
        <f t="shared" si="1"/>
        <v>0.000854705511246902</v>
      </c>
    </row>
    <row r="29" spans="1:24">
      <c r="A29" s="22" t="s">
        <v>39</v>
      </c>
      <c r="B29" s="22">
        <v>1202870.42627809</v>
      </c>
      <c r="C29" s="22">
        <v>1203</v>
      </c>
      <c r="D29" s="22">
        <v>10</v>
      </c>
      <c r="E29" s="18"/>
      <c r="F29" s="18"/>
      <c r="G29" s="18"/>
      <c r="H29" s="18"/>
      <c r="I29" s="18"/>
      <c r="J29" s="18"/>
      <c r="K29" s="22">
        <v>1203</v>
      </c>
      <c r="L29" s="18">
        <f t="shared" si="0"/>
        <v>0.000868213612282226</v>
      </c>
      <c r="M29" s="22" t="s">
        <v>39</v>
      </c>
      <c r="N29" s="22">
        <v>1202870.42627809</v>
      </c>
      <c r="O29" s="22">
        <v>1203</v>
      </c>
      <c r="P29" s="22">
        <v>10</v>
      </c>
      <c r="Q29" s="18"/>
      <c r="R29" s="18"/>
      <c r="S29" s="18"/>
      <c r="T29" s="18"/>
      <c r="U29" s="18"/>
      <c r="V29" s="18"/>
      <c r="W29" s="22">
        <v>1203</v>
      </c>
      <c r="X29" s="18">
        <f t="shared" si="1"/>
        <v>0.000950473118021062</v>
      </c>
    </row>
    <row r="30" spans="1:24">
      <c r="A30" s="22" t="s">
        <v>40</v>
      </c>
      <c r="B30" s="22">
        <v>228219.247471866</v>
      </c>
      <c r="C30" s="22">
        <v>228</v>
      </c>
      <c r="D30" s="22">
        <v>10</v>
      </c>
      <c r="E30" s="18"/>
      <c r="F30" s="18"/>
      <c r="G30" s="18"/>
      <c r="H30" s="18"/>
      <c r="I30" s="18"/>
      <c r="J30" s="18"/>
      <c r="K30" s="22">
        <v>228</v>
      </c>
      <c r="L30" s="18">
        <f t="shared" si="0"/>
        <v>9.80753573981876e-5</v>
      </c>
      <c r="M30" s="22" t="s">
        <v>40</v>
      </c>
      <c r="N30" s="22">
        <v>228219.247471866</v>
      </c>
      <c r="O30" s="22">
        <v>228</v>
      </c>
      <c r="P30" s="22">
        <v>10</v>
      </c>
      <c r="Q30" s="18"/>
      <c r="R30" s="18"/>
      <c r="S30" s="18"/>
      <c r="T30" s="18"/>
      <c r="U30" s="18"/>
      <c r="V30" s="18"/>
      <c r="W30" s="22">
        <v>228</v>
      </c>
      <c r="X30" s="18">
        <f t="shared" si="1"/>
        <v>6.02266885417484e-5</v>
      </c>
    </row>
    <row r="31" spans="1:24">
      <c r="A31" s="22" t="s">
        <v>41</v>
      </c>
      <c r="B31" s="22">
        <v>1955203.79214153</v>
      </c>
      <c r="C31" s="22">
        <v>1955</v>
      </c>
      <c r="D31" s="22">
        <v>10</v>
      </c>
      <c r="E31" s="18"/>
      <c r="F31" s="18"/>
      <c r="G31" s="18"/>
      <c r="H31" s="18"/>
      <c r="I31" s="18"/>
      <c r="J31" s="18"/>
      <c r="K31" s="22">
        <v>1955</v>
      </c>
      <c r="L31" s="18">
        <f t="shared" si="0"/>
        <v>0.000214699031031056</v>
      </c>
      <c r="M31" s="22" t="s">
        <v>41</v>
      </c>
      <c r="N31" s="22">
        <v>1955203.79214153</v>
      </c>
      <c r="O31" s="22">
        <v>1955</v>
      </c>
      <c r="P31" s="22">
        <v>10</v>
      </c>
      <c r="Q31" s="18"/>
      <c r="R31" s="18"/>
      <c r="S31" s="18"/>
      <c r="T31" s="18"/>
      <c r="U31" s="18"/>
      <c r="V31" s="18"/>
      <c r="W31" s="22">
        <v>1955</v>
      </c>
      <c r="X31" s="18">
        <f t="shared" si="1"/>
        <v>0.000199647421930476</v>
      </c>
    </row>
    <row r="32" spans="1:24">
      <c r="A32" s="22" t="s">
        <v>42</v>
      </c>
      <c r="B32" s="22">
        <v>1401647.51282051</v>
      </c>
      <c r="C32" s="22">
        <v>1400</v>
      </c>
      <c r="D32" s="22">
        <v>30</v>
      </c>
      <c r="E32" s="18"/>
      <c r="F32" s="18"/>
      <c r="G32" s="18"/>
      <c r="H32" s="18"/>
      <c r="I32" s="18"/>
      <c r="J32" s="18"/>
      <c r="K32" s="22">
        <v>1400</v>
      </c>
      <c r="L32" s="18">
        <f t="shared" si="0"/>
        <v>0.0007802711439806</v>
      </c>
      <c r="M32" s="22" t="s">
        <v>42</v>
      </c>
      <c r="N32" s="22">
        <v>1401647.51282051</v>
      </c>
      <c r="O32" s="22">
        <v>1400</v>
      </c>
      <c r="P32" s="22">
        <v>30</v>
      </c>
      <c r="Q32" s="18"/>
      <c r="R32" s="18"/>
      <c r="S32" s="18"/>
      <c r="T32" s="18"/>
      <c r="U32" s="18"/>
      <c r="V32" s="18"/>
      <c r="W32" s="22">
        <v>1400</v>
      </c>
      <c r="X32" s="18">
        <f t="shared" si="1"/>
        <v>0.00086151197655539</v>
      </c>
    </row>
    <row r="33" spans="1:24">
      <c r="A33" s="22" t="s">
        <v>43</v>
      </c>
      <c r="B33" s="22">
        <v>1241963.69716417</v>
      </c>
      <c r="C33" s="22">
        <v>1240</v>
      </c>
      <c r="D33" s="22">
        <v>20</v>
      </c>
      <c r="E33" s="18"/>
      <c r="F33" s="18"/>
      <c r="G33" s="18"/>
      <c r="H33" s="18"/>
      <c r="I33" s="18"/>
      <c r="J33" s="18"/>
      <c r="K33" s="22">
        <v>1240</v>
      </c>
      <c r="L33" s="18">
        <f t="shared" si="0"/>
        <v>0.000863000698134503</v>
      </c>
      <c r="M33" s="22" t="s">
        <v>43</v>
      </c>
      <c r="N33" s="22">
        <v>1241963.69716417</v>
      </c>
      <c r="O33" s="22">
        <v>1240</v>
      </c>
      <c r="P33" s="22">
        <v>20</v>
      </c>
      <c r="Q33" s="18"/>
      <c r="R33" s="18"/>
      <c r="S33" s="18"/>
      <c r="T33" s="18"/>
      <c r="U33" s="18"/>
      <c r="V33" s="18"/>
      <c r="W33" s="22">
        <v>1240</v>
      </c>
      <c r="X33" s="18">
        <f t="shared" si="1"/>
        <v>0.0009489113752306</v>
      </c>
    </row>
    <row r="34" spans="1:24">
      <c r="A34" s="22" t="s">
        <v>44</v>
      </c>
      <c r="B34" s="22">
        <v>1183219.89224422</v>
      </c>
      <c r="C34" s="22">
        <v>1180</v>
      </c>
      <c r="D34" s="22">
        <v>20</v>
      </c>
      <c r="E34" s="18"/>
      <c r="F34" s="18"/>
      <c r="G34" s="18"/>
      <c r="H34" s="18"/>
      <c r="I34" s="18"/>
      <c r="J34" s="18"/>
      <c r="K34" s="22">
        <v>1180</v>
      </c>
      <c r="L34" s="18">
        <f t="shared" si="0"/>
        <v>0.00086862324227471</v>
      </c>
      <c r="M34" s="22" t="s">
        <v>44</v>
      </c>
      <c r="N34" s="22">
        <v>1183219.89224422</v>
      </c>
      <c r="O34" s="22">
        <v>1180</v>
      </c>
      <c r="P34" s="22">
        <v>20</v>
      </c>
      <c r="Q34" s="18"/>
      <c r="R34" s="18"/>
      <c r="S34" s="18"/>
      <c r="T34" s="18"/>
      <c r="U34" s="18"/>
      <c r="V34" s="18"/>
      <c r="W34" s="22">
        <v>1180</v>
      </c>
      <c r="X34" s="18">
        <f t="shared" si="1"/>
        <v>0.000947723685610571</v>
      </c>
    </row>
    <row r="35" spans="1:24">
      <c r="A35" s="22" t="s">
        <v>45</v>
      </c>
      <c r="B35" s="22">
        <v>784125.280085435</v>
      </c>
      <c r="C35" s="22">
        <v>780</v>
      </c>
      <c r="D35" s="22">
        <v>20</v>
      </c>
      <c r="E35" s="18"/>
      <c r="F35" s="18"/>
      <c r="G35" s="18"/>
      <c r="H35" s="18"/>
      <c r="I35" s="18"/>
      <c r="J35" s="18"/>
      <c r="K35" s="22">
        <v>780</v>
      </c>
      <c r="L35" s="18">
        <f t="shared" si="0"/>
        <v>0.000586370296197926</v>
      </c>
      <c r="M35" s="22" t="s">
        <v>45</v>
      </c>
      <c r="N35" s="22">
        <v>784125.280085435</v>
      </c>
      <c r="O35" s="22">
        <v>780</v>
      </c>
      <c r="P35" s="22">
        <v>20</v>
      </c>
      <c r="Q35" s="18"/>
      <c r="R35" s="18"/>
      <c r="S35" s="18"/>
      <c r="T35" s="18"/>
      <c r="U35" s="18"/>
      <c r="V35" s="18"/>
      <c r="W35" s="22">
        <v>780</v>
      </c>
      <c r="X35" s="18">
        <f t="shared" si="1"/>
        <v>0.00055733293512258</v>
      </c>
    </row>
    <row r="36" spans="1:24">
      <c r="A36" s="22" t="s">
        <v>46</v>
      </c>
      <c r="B36" s="22">
        <v>1134266.25404362</v>
      </c>
      <c r="C36" s="22">
        <v>1130</v>
      </c>
      <c r="D36" s="22">
        <v>30</v>
      </c>
      <c r="E36" s="18"/>
      <c r="F36" s="18"/>
      <c r="G36" s="18"/>
      <c r="H36" s="18"/>
      <c r="I36" s="18"/>
      <c r="J36" s="18"/>
      <c r="K36" s="22">
        <v>1130</v>
      </c>
      <c r="L36" s="18">
        <f t="shared" si="0"/>
        <v>0.000862022187516125</v>
      </c>
      <c r="M36" s="22" t="s">
        <v>46</v>
      </c>
      <c r="N36" s="22">
        <v>1134266.25404362</v>
      </c>
      <c r="O36" s="22">
        <v>1130</v>
      </c>
      <c r="P36" s="22">
        <v>30</v>
      </c>
      <c r="Q36" s="18"/>
      <c r="R36" s="18"/>
      <c r="S36" s="18"/>
      <c r="T36" s="18"/>
      <c r="U36" s="18"/>
      <c r="V36" s="18"/>
      <c r="W36" s="22">
        <v>1130</v>
      </c>
      <c r="X36" s="18">
        <f t="shared" si="1"/>
        <v>0.000932062231062348</v>
      </c>
    </row>
    <row r="37" spans="1:24">
      <c r="A37" s="31" t="s">
        <v>47</v>
      </c>
      <c r="B37" s="31">
        <v>1348618.38745673</v>
      </c>
      <c r="C37" s="31">
        <v>1350</v>
      </c>
      <c r="D37" s="31">
        <v>70</v>
      </c>
      <c r="E37" s="18"/>
      <c r="F37" s="18"/>
      <c r="G37" s="18"/>
      <c r="H37" s="18"/>
      <c r="I37" s="18"/>
      <c r="J37" s="18"/>
      <c r="K37" s="31">
        <v>1350</v>
      </c>
      <c r="L37" s="18">
        <f t="shared" si="0"/>
        <v>0.000815803467741012</v>
      </c>
      <c r="M37" s="31" t="s">
        <v>47</v>
      </c>
      <c r="N37" s="31">
        <v>1297565.18958598</v>
      </c>
      <c r="O37" s="31">
        <v>1300</v>
      </c>
      <c r="P37" s="31">
        <v>70</v>
      </c>
      <c r="Q37" s="18"/>
      <c r="R37" s="18"/>
      <c r="S37" s="18"/>
      <c r="T37" s="18"/>
      <c r="U37" s="18"/>
      <c r="V37" s="18"/>
      <c r="W37" s="31">
        <v>1300</v>
      </c>
      <c r="X37" s="18">
        <f t="shared" si="1"/>
        <v>0.00093087051562134</v>
      </c>
    </row>
    <row r="38" spans="1:24">
      <c r="A38" s="22" t="s">
        <v>48</v>
      </c>
      <c r="B38" s="22">
        <v>1166169.3392282</v>
      </c>
      <c r="C38" s="22">
        <v>1170</v>
      </c>
      <c r="D38" s="22">
        <v>10</v>
      </c>
      <c r="E38" s="18"/>
      <c r="F38" s="18"/>
      <c r="G38" s="18"/>
      <c r="H38" s="18"/>
      <c r="I38" s="18"/>
      <c r="J38" s="18"/>
      <c r="K38" s="22">
        <v>1170</v>
      </c>
      <c r="L38" s="18">
        <f t="shared" si="0"/>
        <v>0.00086812191211138</v>
      </c>
      <c r="M38" s="22" t="s">
        <v>48</v>
      </c>
      <c r="N38" s="22">
        <v>1166169.3392282</v>
      </c>
      <c r="O38" s="22">
        <v>1170</v>
      </c>
      <c r="P38" s="22">
        <v>10</v>
      </c>
      <c r="Q38" s="18"/>
      <c r="R38" s="18"/>
      <c r="S38" s="18"/>
      <c r="T38" s="18"/>
      <c r="U38" s="18"/>
      <c r="V38" s="18"/>
      <c r="W38" s="22">
        <v>1170</v>
      </c>
      <c r="X38" s="18">
        <f t="shared" si="1"/>
        <v>0.000945644104893595</v>
      </c>
    </row>
    <row r="39" spans="1:24">
      <c r="A39" s="22" t="s">
        <v>49</v>
      </c>
      <c r="B39" s="22">
        <v>926339.187275867</v>
      </c>
      <c r="C39" s="22">
        <v>930</v>
      </c>
      <c r="D39" s="22">
        <v>20</v>
      </c>
      <c r="E39" s="18"/>
      <c r="F39" s="18"/>
      <c r="G39" s="18"/>
      <c r="H39" s="18"/>
      <c r="I39" s="18"/>
      <c r="J39" s="18"/>
      <c r="K39" s="22">
        <v>930</v>
      </c>
      <c r="L39" s="18">
        <f t="shared" si="0"/>
        <v>0.000742646846147367</v>
      </c>
      <c r="M39" s="22" t="s">
        <v>49</v>
      </c>
      <c r="N39" s="22">
        <v>926339.187275867</v>
      </c>
      <c r="O39" s="22">
        <v>930</v>
      </c>
      <c r="P39" s="22">
        <v>20</v>
      </c>
      <c r="Q39" s="18"/>
      <c r="R39" s="18"/>
      <c r="S39" s="18"/>
      <c r="T39" s="18"/>
      <c r="U39" s="18"/>
      <c r="V39" s="18"/>
      <c r="W39" s="22">
        <v>930</v>
      </c>
      <c r="X39" s="18">
        <f t="shared" si="1"/>
        <v>0.000756534758726948</v>
      </c>
    </row>
    <row r="40" spans="1:24">
      <c r="A40" s="22" t="s">
        <v>50</v>
      </c>
      <c r="B40" s="22">
        <v>929712.186406246</v>
      </c>
      <c r="C40" s="22">
        <v>930</v>
      </c>
      <c r="D40" s="22">
        <v>30</v>
      </c>
      <c r="E40" s="18"/>
      <c r="F40" s="18"/>
      <c r="G40" s="18"/>
      <c r="H40" s="18"/>
      <c r="I40" s="18"/>
      <c r="J40" s="18"/>
      <c r="K40" s="22">
        <v>930</v>
      </c>
      <c r="L40" s="18">
        <f t="shared" si="0"/>
        <v>0.000742646846147367</v>
      </c>
      <c r="M40" s="22" t="s">
        <v>50</v>
      </c>
      <c r="N40" s="22">
        <v>929712.186406246</v>
      </c>
      <c r="O40" s="22">
        <v>930</v>
      </c>
      <c r="P40" s="22">
        <v>30</v>
      </c>
      <c r="Q40" s="18"/>
      <c r="R40" s="18"/>
      <c r="S40" s="18"/>
      <c r="T40" s="18"/>
      <c r="U40" s="18"/>
      <c r="V40" s="18"/>
      <c r="W40" s="22">
        <v>930</v>
      </c>
      <c r="X40" s="18">
        <f t="shared" si="1"/>
        <v>0.000756534758726948</v>
      </c>
    </row>
    <row r="41" spans="1:24">
      <c r="A41" s="22" t="s">
        <v>51</v>
      </c>
      <c r="B41" s="22">
        <v>2431621.06544741</v>
      </c>
      <c r="C41" s="22">
        <v>2430</v>
      </c>
      <c r="D41" s="22">
        <v>30</v>
      </c>
      <c r="E41" s="18"/>
      <c r="F41" s="18"/>
      <c r="G41" s="18"/>
      <c r="H41" s="18"/>
      <c r="I41" s="18"/>
      <c r="J41" s="18"/>
      <c r="K41" s="22">
        <v>2430</v>
      </c>
      <c r="L41" s="18">
        <f t="shared" si="0"/>
        <v>2.23060845239869e-5</v>
      </c>
      <c r="M41" s="22" t="s">
        <v>51</v>
      </c>
      <c r="N41" s="22">
        <v>2431621.06544741</v>
      </c>
      <c r="O41" s="22">
        <v>2430</v>
      </c>
      <c r="P41" s="22">
        <v>30</v>
      </c>
      <c r="Q41" s="18"/>
      <c r="R41" s="18"/>
      <c r="S41" s="18"/>
      <c r="T41" s="18"/>
      <c r="U41" s="18"/>
      <c r="V41" s="18"/>
      <c r="W41" s="22">
        <v>2430</v>
      </c>
      <c r="X41" s="18">
        <f t="shared" si="1"/>
        <v>1.42353717586717e-5</v>
      </c>
    </row>
    <row r="42" spans="1:24">
      <c r="A42" s="22" t="s">
        <v>52</v>
      </c>
      <c r="B42" s="22">
        <v>855417.481917911</v>
      </c>
      <c r="C42" s="22">
        <v>855</v>
      </c>
      <c r="D42" s="22">
        <v>10</v>
      </c>
      <c r="E42" s="18"/>
      <c r="F42" s="18"/>
      <c r="G42" s="18"/>
      <c r="H42" s="18"/>
      <c r="I42" s="18"/>
      <c r="J42" s="18"/>
      <c r="K42" s="22">
        <v>855</v>
      </c>
      <c r="L42" s="18">
        <f t="shared" si="0"/>
        <v>0.000668758188102946</v>
      </c>
      <c r="M42" s="22" t="s">
        <v>52</v>
      </c>
      <c r="N42" s="22">
        <v>855417.481917911</v>
      </c>
      <c r="O42" s="22">
        <v>855</v>
      </c>
      <c r="P42" s="22">
        <v>10</v>
      </c>
      <c r="Q42" s="18"/>
      <c r="R42" s="18"/>
      <c r="S42" s="18"/>
      <c r="T42" s="18"/>
      <c r="U42" s="18"/>
      <c r="V42" s="18"/>
      <c r="W42" s="22">
        <v>855</v>
      </c>
      <c r="X42" s="18">
        <f t="shared" si="1"/>
        <v>0.000659795772690134</v>
      </c>
    </row>
  </sheetData>
  <sortState ref="K4:K42">
    <sortCondition ref="K3"/>
  </sortState>
  <mergeCells count="2">
    <mergeCell ref="A1:L1"/>
    <mergeCell ref="M1:X1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"/>
  <sheetViews>
    <sheetView workbookViewId="0">
      <selection activeCell="R9" sqref="R9"/>
    </sheetView>
  </sheetViews>
  <sheetFormatPr defaultColWidth="8.88888888888889" defaultRowHeight="14.4"/>
  <cols>
    <col min="2" max="2" width="14.5555555555556" customWidth="1"/>
    <col min="3" max="3" width="26.4444444444444" customWidth="1"/>
    <col min="4" max="5" width="13.1111111111111" customWidth="1"/>
    <col min="6" max="6" width="11.5555555555556" customWidth="1"/>
    <col min="7" max="7" width="13.6666666666667" customWidth="1"/>
    <col min="8" max="8" width="11.7777777777778"/>
    <col min="11" max="11" width="13.4444444444444" customWidth="1"/>
    <col min="12" max="12" width="12.8888888888889"/>
    <col min="24" max="24" width="12.8888888888889"/>
  </cols>
  <sheetData>
    <row r="1" spans="1:24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28" t="s">
        <v>1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</row>
    <row r="2" spans="1:24">
      <c r="A2" s="22" t="s">
        <v>2</v>
      </c>
      <c r="B2" s="22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  <c r="H2" s="18" t="s">
        <v>9</v>
      </c>
      <c r="I2" s="18" t="s">
        <v>10</v>
      </c>
      <c r="J2" s="18" t="s">
        <v>11</v>
      </c>
      <c r="K2" s="18" t="s">
        <v>4</v>
      </c>
      <c r="L2" s="29" t="s">
        <v>12</v>
      </c>
      <c r="M2" s="22" t="s">
        <v>2</v>
      </c>
      <c r="N2" s="22" t="s">
        <v>3</v>
      </c>
      <c r="O2" s="18" t="s">
        <v>4</v>
      </c>
      <c r="P2" s="18" t="s">
        <v>5</v>
      </c>
      <c r="Q2" s="18" t="s">
        <v>6</v>
      </c>
      <c r="R2" s="18" t="s">
        <v>7</v>
      </c>
      <c r="S2" s="18" t="s">
        <v>8</v>
      </c>
      <c r="T2" s="18" t="s">
        <v>9</v>
      </c>
      <c r="U2" s="18" t="s">
        <v>10</v>
      </c>
      <c r="V2" s="18" t="s">
        <v>11</v>
      </c>
      <c r="W2" s="18" t="s">
        <v>4</v>
      </c>
      <c r="X2" s="29" t="s">
        <v>12</v>
      </c>
    </row>
    <row r="3" spans="1:24">
      <c r="A3" s="22" t="s">
        <v>53</v>
      </c>
      <c r="B3" s="23">
        <v>916340.640499405</v>
      </c>
      <c r="C3" s="22">
        <v>920</v>
      </c>
      <c r="D3" s="18">
        <v>10</v>
      </c>
      <c r="E3" s="18">
        <f>AVERAGE(C3:C43)</f>
        <v>1168.36585365854</v>
      </c>
      <c r="F3" s="18">
        <f>MODE(C3:C43)</f>
        <v>1330</v>
      </c>
      <c r="G3" s="18">
        <f>MEDIAN(C3:C43)</f>
        <v>1260</v>
      </c>
      <c r="H3" s="18">
        <f>_xlfn.STDEV.S(C3:C43)</f>
        <v>459.859747972007</v>
      </c>
      <c r="I3" s="18"/>
      <c r="J3" s="18"/>
      <c r="K3" s="22">
        <v>920</v>
      </c>
      <c r="L3" s="29">
        <f>_xlfn.NORM.DIST(K3,$E$3,$H$3,FALSE)</f>
        <v>0.000749796349565178</v>
      </c>
      <c r="M3" s="22" t="s">
        <v>53</v>
      </c>
      <c r="N3" s="23">
        <v>916340.640499405</v>
      </c>
      <c r="O3" s="22">
        <v>920</v>
      </c>
      <c r="P3" s="18">
        <v>10</v>
      </c>
      <c r="Q3" s="18">
        <f>AVERAGE(O3:O43)</f>
        <v>1222.19512195122</v>
      </c>
      <c r="R3" s="18">
        <f>MODE(O3:O43)</f>
        <v>1330</v>
      </c>
      <c r="S3" s="18">
        <f>MEDIAN(O3:O43)</f>
        <v>1260</v>
      </c>
      <c r="T3" s="18">
        <f>_xlfn.STDEV.S(O3:O43)</f>
        <v>392.068311618791</v>
      </c>
      <c r="U3" s="18"/>
      <c r="V3" s="18"/>
      <c r="W3" s="22">
        <v>920</v>
      </c>
      <c r="X3" s="29">
        <f>_xlfn.NORM.DIST(W3,$Q$3,$T$3,FALSE)</f>
        <v>0.000756037896081312</v>
      </c>
    </row>
    <row r="4" spans="1:24">
      <c r="A4" s="24" t="s">
        <v>54</v>
      </c>
      <c r="B4" s="25">
        <v>113322.951531421</v>
      </c>
      <c r="C4" s="24">
        <v>113</v>
      </c>
      <c r="D4" s="26">
        <v>2</v>
      </c>
      <c r="E4" s="18"/>
      <c r="F4" s="18"/>
      <c r="G4" s="18"/>
      <c r="H4" s="18"/>
      <c r="I4" s="18"/>
      <c r="J4" s="18"/>
      <c r="K4" s="24">
        <v>113</v>
      </c>
      <c r="L4" s="29">
        <f t="shared" ref="L4:L43" si="0">_xlfn.NORM.DIST(K4,$E$3,$H$3,FALSE)</f>
        <v>6.23148152270532e-5</v>
      </c>
      <c r="M4" s="24" t="s">
        <v>54</v>
      </c>
      <c r="N4" s="25">
        <v>1133229.51531421</v>
      </c>
      <c r="O4" s="24">
        <v>1130</v>
      </c>
      <c r="P4" s="26">
        <v>20</v>
      </c>
      <c r="Q4" s="18"/>
      <c r="R4" s="18"/>
      <c r="S4" s="18"/>
      <c r="T4" s="18"/>
      <c r="U4" s="18"/>
      <c r="V4" s="18"/>
      <c r="W4" s="24">
        <v>1130</v>
      </c>
      <c r="X4" s="29">
        <f t="shared" ref="X4:X43" si="1">_xlfn.NORM.DIST(W4,$Q$3,$T$3,FALSE)</f>
        <v>0.00098978526894126</v>
      </c>
    </row>
    <row r="5" spans="1:24">
      <c r="A5" s="22" t="s">
        <v>55</v>
      </c>
      <c r="B5" s="23">
        <v>256360.2587099</v>
      </c>
      <c r="C5" s="22">
        <v>260</v>
      </c>
      <c r="D5" s="18">
        <v>10</v>
      </c>
      <c r="E5" s="18"/>
      <c r="F5" s="18"/>
      <c r="G5" s="18"/>
      <c r="H5" s="18"/>
      <c r="I5" s="18"/>
      <c r="J5" s="18"/>
      <c r="K5" s="22">
        <v>260</v>
      </c>
      <c r="L5" s="29">
        <f t="shared" si="0"/>
        <v>0.000123312824182756</v>
      </c>
      <c r="M5" s="22" t="s">
        <v>55</v>
      </c>
      <c r="N5" s="23">
        <v>256360.2587099</v>
      </c>
      <c r="O5" s="22">
        <v>260</v>
      </c>
      <c r="P5" s="18">
        <v>10</v>
      </c>
      <c r="Q5" s="18"/>
      <c r="R5" s="18"/>
      <c r="S5" s="18"/>
      <c r="T5" s="18"/>
      <c r="U5" s="18"/>
      <c r="V5" s="18"/>
      <c r="W5" s="22">
        <v>260</v>
      </c>
      <c r="X5" s="29">
        <f t="shared" si="1"/>
        <v>5.00842005192144e-5</v>
      </c>
    </row>
    <row r="6" spans="1:24">
      <c r="A6" s="22" t="s">
        <v>56</v>
      </c>
      <c r="B6" s="23">
        <v>1329104.48117726</v>
      </c>
      <c r="C6" s="22">
        <v>1330</v>
      </c>
      <c r="D6" s="18">
        <v>20</v>
      </c>
      <c r="E6" s="18"/>
      <c r="F6" s="18"/>
      <c r="G6" s="18"/>
      <c r="H6" s="18"/>
      <c r="I6" s="18"/>
      <c r="J6" s="18"/>
      <c r="K6" s="22">
        <v>1330</v>
      </c>
      <c r="L6" s="29">
        <f t="shared" si="0"/>
        <v>0.000815563563177972</v>
      </c>
      <c r="M6" s="22" t="s">
        <v>56</v>
      </c>
      <c r="N6" s="23">
        <v>1329104.48117726</v>
      </c>
      <c r="O6" s="22">
        <v>1330</v>
      </c>
      <c r="P6" s="18">
        <v>20</v>
      </c>
      <c r="Q6" s="18"/>
      <c r="R6" s="18"/>
      <c r="S6" s="18"/>
      <c r="T6" s="18"/>
      <c r="U6" s="18"/>
      <c r="V6" s="18"/>
      <c r="W6" s="22">
        <v>1330</v>
      </c>
      <c r="X6" s="29">
        <f t="shared" si="1"/>
        <v>0.00097978502967558</v>
      </c>
    </row>
    <row r="7" spans="1:24">
      <c r="A7" s="24" t="s">
        <v>57</v>
      </c>
      <c r="B7" s="25">
        <v>1308733.90393644</v>
      </c>
      <c r="C7" s="24">
        <v>1310</v>
      </c>
      <c r="D7" s="26">
        <v>20</v>
      </c>
      <c r="E7" s="18"/>
      <c r="F7" s="18"/>
      <c r="G7" s="18"/>
      <c r="H7" s="18"/>
      <c r="I7" s="18"/>
      <c r="J7" s="18"/>
      <c r="K7" s="24">
        <v>1310</v>
      </c>
      <c r="L7" s="29">
        <f t="shared" si="0"/>
        <v>0.000827343740670369</v>
      </c>
      <c r="M7" s="24" t="s">
        <v>57</v>
      </c>
      <c r="N7" s="25">
        <v>1306901.50970525</v>
      </c>
      <c r="O7" s="24">
        <v>1310</v>
      </c>
      <c r="P7" s="26">
        <v>20</v>
      </c>
      <c r="Q7" s="18"/>
      <c r="R7" s="18"/>
      <c r="S7" s="18"/>
      <c r="T7" s="18"/>
      <c r="U7" s="18"/>
      <c r="V7" s="18"/>
      <c r="W7" s="24">
        <v>1310</v>
      </c>
      <c r="X7" s="29">
        <f t="shared" si="1"/>
        <v>0.000992332726413541</v>
      </c>
    </row>
    <row r="8" spans="1:24">
      <c r="A8" s="22" t="s">
        <v>58</v>
      </c>
      <c r="B8" s="23">
        <v>1333320.36625824</v>
      </c>
      <c r="C8" s="22">
        <v>1330</v>
      </c>
      <c r="D8" s="27">
        <v>20</v>
      </c>
      <c r="E8" s="18"/>
      <c r="F8" s="18"/>
      <c r="G8" s="18"/>
      <c r="H8" s="18"/>
      <c r="I8" s="18"/>
      <c r="J8" s="18"/>
      <c r="K8" s="22">
        <v>1330</v>
      </c>
      <c r="L8" s="29">
        <f t="shared" si="0"/>
        <v>0.000815563563177972</v>
      </c>
      <c r="M8" s="22" t="s">
        <v>58</v>
      </c>
      <c r="N8" s="23">
        <v>1333320.36625824</v>
      </c>
      <c r="O8" s="22">
        <v>1330</v>
      </c>
      <c r="P8" s="27">
        <v>20</v>
      </c>
      <c r="Q8" s="18"/>
      <c r="R8" s="18"/>
      <c r="S8" s="18"/>
      <c r="T8" s="18"/>
      <c r="U8" s="18"/>
      <c r="V8" s="18"/>
      <c r="W8" s="22">
        <v>1330</v>
      </c>
      <c r="X8" s="29">
        <f t="shared" si="1"/>
        <v>0.00097978502967558</v>
      </c>
    </row>
    <row r="9" spans="1:24">
      <c r="A9" s="22" t="s">
        <v>59</v>
      </c>
      <c r="B9" s="23">
        <v>1332380.16869609</v>
      </c>
      <c r="C9" s="22">
        <v>1330</v>
      </c>
      <c r="D9" s="18">
        <v>20</v>
      </c>
      <c r="E9" s="18"/>
      <c r="F9" s="18"/>
      <c r="G9" s="18"/>
      <c r="H9" s="18"/>
      <c r="I9" s="18"/>
      <c r="J9" s="18"/>
      <c r="K9" s="22">
        <v>1330</v>
      </c>
      <c r="L9" s="29">
        <f t="shared" si="0"/>
        <v>0.000815563563177972</v>
      </c>
      <c r="M9" s="22" t="s">
        <v>59</v>
      </c>
      <c r="N9" s="23">
        <v>1332380.16869609</v>
      </c>
      <c r="O9" s="22">
        <v>1330</v>
      </c>
      <c r="P9" s="18">
        <v>20</v>
      </c>
      <c r="Q9" s="18"/>
      <c r="R9" s="18"/>
      <c r="S9" s="18"/>
      <c r="T9" s="18"/>
      <c r="U9" s="18"/>
      <c r="V9" s="18"/>
      <c r="W9" s="22">
        <v>1330</v>
      </c>
      <c r="X9" s="29">
        <f t="shared" si="1"/>
        <v>0.00097978502967558</v>
      </c>
    </row>
    <row r="10" spans="1:24">
      <c r="A10" s="24" t="s">
        <v>60</v>
      </c>
      <c r="B10" s="25">
        <v>123436.869701392</v>
      </c>
      <c r="C10" s="24">
        <v>120</v>
      </c>
      <c r="D10" s="26">
        <v>10</v>
      </c>
      <c r="E10" s="18"/>
      <c r="F10" s="18"/>
      <c r="G10" s="18"/>
      <c r="H10" s="18"/>
      <c r="I10" s="18"/>
      <c r="J10" s="18"/>
      <c r="K10" s="24">
        <v>120</v>
      </c>
      <c r="L10" s="18">
        <f t="shared" si="0"/>
        <v>6.45227261626264e-5</v>
      </c>
      <c r="M10" s="24" t="s">
        <v>60</v>
      </c>
      <c r="N10" s="25">
        <v>1309790.87295731</v>
      </c>
      <c r="O10" s="24">
        <v>1310</v>
      </c>
      <c r="P10" s="26">
        <v>10</v>
      </c>
      <c r="Q10" s="18"/>
      <c r="R10" s="18"/>
      <c r="S10" s="18"/>
      <c r="T10" s="18"/>
      <c r="U10" s="18"/>
      <c r="V10" s="18"/>
      <c r="W10" s="24">
        <v>1310</v>
      </c>
      <c r="X10" s="29">
        <f t="shared" si="1"/>
        <v>0.000992332726413541</v>
      </c>
    </row>
    <row r="11" spans="1:24">
      <c r="A11" s="22" t="s">
        <v>61</v>
      </c>
      <c r="B11" s="23">
        <v>1415694.95601617</v>
      </c>
      <c r="C11" s="22">
        <v>1420</v>
      </c>
      <c r="D11" s="18">
        <v>20</v>
      </c>
      <c r="E11" s="18"/>
      <c r="F11" s="18"/>
      <c r="G11" s="18"/>
      <c r="H11" s="18"/>
      <c r="I11" s="18"/>
      <c r="J11" s="18"/>
      <c r="K11" s="22">
        <v>1420</v>
      </c>
      <c r="L11" s="18">
        <f t="shared" si="0"/>
        <v>0.00074690490584583</v>
      </c>
      <c r="M11" s="22" t="s">
        <v>61</v>
      </c>
      <c r="N11" s="23">
        <v>1415694.95601617</v>
      </c>
      <c r="O11" s="22">
        <v>1420</v>
      </c>
      <c r="P11" s="18">
        <v>20</v>
      </c>
      <c r="Q11" s="18"/>
      <c r="R11" s="18"/>
      <c r="S11" s="18"/>
      <c r="T11" s="18"/>
      <c r="U11" s="18"/>
      <c r="V11" s="18"/>
      <c r="W11" s="22">
        <v>1420</v>
      </c>
      <c r="X11" s="29">
        <f t="shared" si="1"/>
        <v>0.000895934722790474</v>
      </c>
    </row>
    <row r="12" spans="1:24">
      <c r="A12" s="22" t="s">
        <v>62</v>
      </c>
      <c r="B12" s="23">
        <v>1338494.77389165</v>
      </c>
      <c r="C12" s="22">
        <v>1340</v>
      </c>
      <c r="D12" s="18">
        <v>30</v>
      </c>
      <c r="E12" s="18"/>
      <c r="F12" s="18"/>
      <c r="G12" s="18"/>
      <c r="H12" s="18"/>
      <c r="I12" s="18"/>
      <c r="J12" s="18"/>
      <c r="K12" s="22">
        <v>1340</v>
      </c>
      <c r="L12" s="18">
        <f t="shared" si="0"/>
        <v>0.000809162367899591</v>
      </c>
      <c r="M12" s="22" t="s">
        <v>62</v>
      </c>
      <c r="N12" s="23">
        <v>1338494.77389165</v>
      </c>
      <c r="O12" s="22">
        <v>1340</v>
      </c>
      <c r="P12" s="18">
        <v>30</v>
      </c>
      <c r="Q12" s="18"/>
      <c r="R12" s="18"/>
      <c r="S12" s="18"/>
      <c r="T12" s="18"/>
      <c r="U12" s="18"/>
      <c r="V12" s="18"/>
      <c r="W12" s="22">
        <v>1340</v>
      </c>
      <c r="X12" s="29">
        <f t="shared" si="1"/>
        <v>0.000972621242997134</v>
      </c>
    </row>
    <row r="13" spans="1:24">
      <c r="A13" s="22" t="s">
        <v>63</v>
      </c>
      <c r="B13" s="23">
        <v>1319081.89959735</v>
      </c>
      <c r="C13" s="22">
        <v>1320</v>
      </c>
      <c r="D13" s="18">
        <v>20</v>
      </c>
      <c r="E13" s="18"/>
      <c r="F13" s="18"/>
      <c r="G13" s="18"/>
      <c r="H13" s="18"/>
      <c r="I13" s="18"/>
      <c r="J13" s="18"/>
      <c r="K13" s="22">
        <v>1320</v>
      </c>
      <c r="L13" s="18">
        <f t="shared" si="0"/>
        <v>0.000821626776423217</v>
      </c>
      <c r="M13" s="22" t="s">
        <v>63</v>
      </c>
      <c r="N13" s="23">
        <v>1319081.89959735</v>
      </c>
      <c r="O13" s="22">
        <v>1320</v>
      </c>
      <c r="P13" s="18">
        <v>20</v>
      </c>
      <c r="Q13" s="18"/>
      <c r="R13" s="18"/>
      <c r="S13" s="18"/>
      <c r="T13" s="18"/>
      <c r="U13" s="18"/>
      <c r="V13" s="18"/>
      <c r="W13" s="22">
        <v>1320</v>
      </c>
      <c r="X13" s="29">
        <f t="shared" si="1"/>
        <v>0.000986359701907962</v>
      </c>
    </row>
    <row r="14" spans="1:24">
      <c r="A14" s="24" t="s">
        <v>64</v>
      </c>
      <c r="B14" s="25">
        <v>834438.667684673</v>
      </c>
      <c r="C14" s="24">
        <v>830</v>
      </c>
      <c r="D14" s="26">
        <v>30</v>
      </c>
      <c r="E14" s="18"/>
      <c r="F14" s="18"/>
      <c r="G14" s="18"/>
      <c r="H14" s="18"/>
      <c r="I14" s="18"/>
      <c r="J14" s="18"/>
      <c r="K14" s="24">
        <v>830</v>
      </c>
      <c r="L14" s="18">
        <f t="shared" si="0"/>
        <v>0.000661789795236875</v>
      </c>
      <c r="M14" s="24" t="s">
        <v>64</v>
      </c>
      <c r="N14" s="30">
        <v>833176.095354587</v>
      </c>
      <c r="O14" s="24">
        <v>830</v>
      </c>
      <c r="P14" s="26">
        <v>30</v>
      </c>
      <c r="Q14" s="18"/>
      <c r="R14" s="18"/>
      <c r="S14" s="18"/>
      <c r="T14" s="18"/>
      <c r="U14" s="18"/>
      <c r="V14" s="18"/>
      <c r="W14" s="24">
        <v>830</v>
      </c>
      <c r="X14" s="29">
        <f t="shared" si="1"/>
        <v>0.000616965091265662</v>
      </c>
    </row>
    <row r="15" spans="1:24">
      <c r="A15" s="22" t="s">
        <v>65</v>
      </c>
      <c r="B15" s="23">
        <v>1257506.63871662</v>
      </c>
      <c r="C15" s="22">
        <v>1260</v>
      </c>
      <c r="D15" s="18">
        <v>20</v>
      </c>
      <c r="E15" s="18"/>
      <c r="F15" s="18"/>
      <c r="G15" s="18"/>
      <c r="H15" s="18"/>
      <c r="I15" s="18"/>
      <c r="J15" s="18"/>
      <c r="K15" s="22">
        <v>1260</v>
      </c>
      <c r="L15" s="18">
        <f t="shared" si="0"/>
        <v>0.000850476791544533</v>
      </c>
      <c r="M15" s="22" t="s">
        <v>65</v>
      </c>
      <c r="N15" s="23">
        <v>1257506.63871662</v>
      </c>
      <c r="O15" s="22">
        <v>1260</v>
      </c>
      <c r="P15" s="18">
        <v>20</v>
      </c>
      <c r="Q15" s="18"/>
      <c r="R15" s="18"/>
      <c r="S15" s="18"/>
      <c r="T15" s="18"/>
      <c r="U15" s="18"/>
      <c r="V15" s="18"/>
      <c r="W15" s="22">
        <v>1260</v>
      </c>
      <c r="X15" s="29">
        <f t="shared" si="1"/>
        <v>0.00101281323746905</v>
      </c>
    </row>
    <row r="16" spans="1:24">
      <c r="A16" s="22" t="s">
        <v>66</v>
      </c>
      <c r="B16" s="23">
        <v>683360.50955414</v>
      </c>
      <c r="C16" s="22">
        <v>680</v>
      </c>
      <c r="D16" s="18">
        <v>10</v>
      </c>
      <c r="E16" s="18"/>
      <c r="F16" s="18"/>
      <c r="G16" s="18"/>
      <c r="H16" s="18"/>
      <c r="I16" s="18"/>
      <c r="J16" s="18"/>
      <c r="K16" s="22">
        <v>680</v>
      </c>
      <c r="L16" s="18">
        <f t="shared" si="0"/>
        <v>0.000493607409323729</v>
      </c>
      <c r="M16" s="22" t="s">
        <v>66</v>
      </c>
      <c r="N16" s="23">
        <v>683360.50955414</v>
      </c>
      <c r="O16" s="22">
        <v>680</v>
      </c>
      <c r="P16" s="18">
        <v>10</v>
      </c>
      <c r="Q16" s="18"/>
      <c r="R16" s="18"/>
      <c r="S16" s="18"/>
      <c r="T16" s="18"/>
      <c r="U16" s="18"/>
      <c r="V16" s="18"/>
      <c r="W16" s="22">
        <v>680</v>
      </c>
      <c r="X16" s="29">
        <f t="shared" si="1"/>
        <v>0.000391081562365212</v>
      </c>
    </row>
    <row r="17" spans="1:24">
      <c r="A17" s="22" t="s">
        <v>67</v>
      </c>
      <c r="B17" s="23">
        <v>2126860.26829683</v>
      </c>
      <c r="C17" s="22">
        <v>2130</v>
      </c>
      <c r="D17" s="18">
        <v>10</v>
      </c>
      <c r="E17" s="18"/>
      <c r="F17" s="18"/>
      <c r="G17" s="18"/>
      <c r="H17" s="18"/>
      <c r="I17" s="18"/>
      <c r="J17" s="18"/>
      <c r="K17" s="22">
        <v>2130</v>
      </c>
      <c r="L17" s="18">
        <f t="shared" si="0"/>
        <v>9.74367486523385e-5</v>
      </c>
      <c r="M17" s="22" t="s">
        <v>67</v>
      </c>
      <c r="N17" s="23">
        <v>2126860.26829683</v>
      </c>
      <c r="O17" s="22">
        <v>2130</v>
      </c>
      <c r="P17" s="18">
        <v>10</v>
      </c>
      <c r="Q17" s="18"/>
      <c r="R17" s="18"/>
      <c r="S17" s="18"/>
      <c r="T17" s="18"/>
      <c r="U17" s="18"/>
      <c r="V17" s="18"/>
      <c r="W17" s="22">
        <v>2130</v>
      </c>
      <c r="X17" s="29">
        <f t="shared" si="1"/>
        <v>6.97235986413312e-5</v>
      </c>
    </row>
    <row r="18" spans="1:24">
      <c r="A18" s="22" t="s">
        <v>68</v>
      </c>
      <c r="B18" s="23">
        <v>1055656.66113263</v>
      </c>
      <c r="C18" s="22">
        <v>1060</v>
      </c>
      <c r="D18" s="18">
        <v>10</v>
      </c>
      <c r="E18" s="18"/>
      <c r="F18" s="18"/>
      <c r="G18" s="18"/>
      <c r="H18" s="18"/>
      <c r="I18" s="18"/>
      <c r="J18" s="18"/>
      <c r="K18" s="22">
        <v>1060</v>
      </c>
      <c r="L18" s="18">
        <f t="shared" si="0"/>
        <v>0.000843774319935552</v>
      </c>
      <c r="M18" s="22" t="s">
        <v>68</v>
      </c>
      <c r="N18" s="23">
        <v>1055656.66113263</v>
      </c>
      <c r="O18" s="22">
        <v>1060</v>
      </c>
      <c r="P18" s="18">
        <v>10</v>
      </c>
      <c r="Q18" s="18"/>
      <c r="R18" s="18"/>
      <c r="S18" s="18"/>
      <c r="T18" s="18"/>
      <c r="U18" s="18"/>
      <c r="V18" s="18"/>
      <c r="W18" s="22">
        <v>1060</v>
      </c>
      <c r="X18" s="29">
        <f t="shared" si="1"/>
        <v>0.000934083490580306</v>
      </c>
    </row>
    <row r="19" spans="1:24">
      <c r="A19" s="22" t="s">
        <v>69</v>
      </c>
      <c r="B19" s="23">
        <v>1383701.02851173</v>
      </c>
      <c r="C19" s="22">
        <v>1380</v>
      </c>
      <c r="D19" s="18">
        <v>20</v>
      </c>
      <c r="E19" s="18"/>
      <c r="F19" s="18"/>
      <c r="G19" s="18"/>
      <c r="H19" s="18"/>
      <c r="I19" s="18"/>
      <c r="J19" s="18"/>
      <c r="K19" s="22">
        <v>1380</v>
      </c>
      <c r="L19" s="18">
        <f t="shared" si="0"/>
        <v>0.00078035719884803</v>
      </c>
      <c r="M19" s="22" t="s">
        <v>69</v>
      </c>
      <c r="N19" s="23">
        <v>1383701.02851173</v>
      </c>
      <c r="O19" s="22">
        <v>1380</v>
      </c>
      <c r="P19" s="18">
        <v>20</v>
      </c>
      <c r="Q19" s="18"/>
      <c r="R19" s="18"/>
      <c r="S19" s="18"/>
      <c r="T19" s="18"/>
      <c r="U19" s="18"/>
      <c r="V19" s="18"/>
      <c r="W19" s="22">
        <v>1380</v>
      </c>
      <c r="X19" s="29">
        <f t="shared" si="1"/>
        <v>0.000938361714505886</v>
      </c>
    </row>
    <row r="20" spans="1:24">
      <c r="A20" s="22" t="s">
        <v>70</v>
      </c>
      <c r="B20" s="27">
        <v>1509640.04509259</v>
      </c>
      <c r="C20" s="22">
        <v>1510</v>
      </c>
      <c r="D20" s="18">
        <v>20</v>
      </c>
      <c r="E20" s="18"/>
      <c r="F20" s="18"/>
      <c r="G20" s="18"/>
      <c r="H20" s="18"/>
      <c r="I20" s="18"/>
      <c r="J20" s="18"/>
      <c r="K20" s="22">
        <v>1510</v>
      </c>
      <c r="L20" s="18">
        <f t="shared" si="0"/>
        <v>0.000658321399978008</v>
      </c>
      <c r="M20" s="22" t="s">
        <v>70</v>
      </c>
      <c r="N20" s="27">
        <v>1509640.04509259</v>
      </c>
      <c r="O20" s="22">
        <v>1510</v>
      </c>
      <c r="P20" s="18">
        <v>20</v>
      </c>
      <c r="Q20" s="18"/>
      <c r="R20" s="18"/>
      <c r="S20" s="18"/>
      <c r="T20" s="18"/>
      <c r="U20" s="18"/>
      <c r="V20" s="18"/>
      <c r="W20" s="22">
        <v>1510</v>
      </c>
      <c r="X20" s="29">
        <f t="shared" si="1"/>
        <v>0.000777207896736724</v>
      </c>
    </row>
    <row r="21" spans="1:24">
      <c r="A21" s="22" t="s">
        <v>71</v>
      </c>
      <c r="B21" s="23">
        <v>948333.916544656</v>
      </c>
      <c r="C21" s="22">
        <v>950</v>
      </c>
      <c r="D21" s="18">
        <v>10</v>
      </c>
      <c r="E21" s="18"/>
      <c r="F21" s="18"/>
      <c r="G21" s="18"/>
      <c r="H21" s="18"/>
      <c r="I21" s="18"/>
      <c r="J21" s="18"/>
      <c r="K21" s="22">
        <v>950</v>
      </c>
      <c r="L21" s="18">
        <f t="shared" si="0"/>
        <v>0.000775034633349871</v>
      </c>
      <c r="M21" s="22" t="s">
        <v>71</v>
      </c>
      <c r="N21" s="23">
        <v>948333.916544656</v>
      </c>
      <c r="O21" s="22">
        <v>950</v>
      </c>
      <c r="P21" s="18">
        <v>10</v>
      </c>
      <c r="Q21" s="18"/>
      <c r="R21" s="18"/>
      <c r="S21" s="18"/>
      <c r="T21" s="18"/>
      <c r="U21" s="18"/>
      <c r="V21" s="18"/>
      <c r="W21" s="22">
        <v>950</v>
      </c>
      <c r="X21" s="29">
        <f t="shared" si="1"/>
        <v>0.000799623826581263</v>
      </c>
    </row>
    <row r="22" spans="1:24">
      <c r="A22" s="22" t="s">
        <v>72</v>
      </c>
      <c r="B22" s="23">
        <v>2205214.27818757</v>
      </c>
      <c r="C22" s="22">
        <v>2210</v>
      </c>
      <c r="D22" s="18">
        <v>10</v>
      </c>
      <c r="E22" s="18"/>
      <c r="F22" s="18"/>
      <c r="G22" s="18"/>
      <c r="H22" s="18"/>
      <c r="I22" s="18"/>
      <c r="J22" s="18"/>
      <c r="K22" s="22">
        <v>2210</v>
      </c>
      <c r="L22" s="18">
        <f t="shared" si="0"/>
        <v>6.67051892671793e-5</v>
      </c>
      <c r="M22" s="22" t="s">
        <v>72</v>
      </c>
      <c r="N22" s="23">
        <v>2205214.27818757</v>
      </c>
      <c r="O22" s="22">
        <v>2210</v>
      </c>
      <c r="P22" s="18">
        <v>10</v>
      </c>
      <c r="Q22" s="18"/>
      <c r="R22" s="18"/>
      <c r="S22" s="18"/>
      <c r="T22" s="18"/>
      <c r="U22" s="18"/>
      <c r="V22" s="18"/>
      <c r="W22" s="22">
        <v>2210</v>
      </c>
      <c r="X22" s="29">
        <f t="shared" si="1"/>
        <v>4.25750327646578e-5</v>
      </c>
    </row>
    <row r="23" spans="1:24">
      <c r="A23" s="22" t="s">
        <v>73</v>
      </c>
      <c r="B23" s="22">
        <v>1056865.4771214</v>
      </c>
      <c r="C23" s="22">
        <v>1060</v>
      </c>
      <c r="D23" s="22">
        <v>20</v>
      </c>
      <c r="E23" s="18"/>
      <c r="F23" s="18"/>
      <c r="G23" s="18"/>
      <c r="H23" s="18"/>
      <c r="I23" s="18"/>
      <c r="J23" s="18"/>
      <c r="K23" s="22">
        <v>1060</v>
      </c>
      <c r="L23" s="18">
        <f t="shared" si="0"/>
        <v>0.000843774319935552</v>
      </c>
      <c r="M23" s="22" t="s">
        <v>73</v>
      </c>
      <c r="N23" s="22">
        <v>1056865.4771214</v>
      </c>
      <c r="O23" s="22">
        <v>1060</v>
      </c>
      <c r="P23" s="22">
        <v>20</v>
      </c>
      <c r="Q23" s="18"/>
      <c r="R23" s="18"/>
      <c r="S23" s="18"/>
      <c r="T23" s="18"/>
      <c r="U23" s="18"/>
      <c r="V23" s="18"/>
      <c r="W23" s="22">
        <v>1060</v>
      </c>
      <c r="X23" s="29">
        <f t="shared" si="1"/>
        <v>0.000934083490580306</v>
      </c>
    </row>
    <row r="24" spans="1:24">
      <c r="A24" s="22" t="s">
        <v>74</v>
      </c>
      <c r="B24" s="22">
        <v>1743983.36520611</v>
      </c>
      <c r="C24" s="22">
        <v>1740</v>
      </c>
      <c r="D24" s="22">
        <v>10</v>
      </c>
      <c r="E24" s="18"/>
      <c r="F24" s="18"/>
      <c r="G24" s="18"/>
      <c r="H24" s="18"/>
      <c r="I24" s="18"/>
      <c r="J24" s="18"/>
      <c r="K24" s="22">
        <v>1740</v>
      </c>
      <c r="L24" s="18">
        <f t="shared" si="0"/>
        <v>0.000400634281607518</v>
      </c>
      <c r="M24" s="22" t="s">
        <v>74</v>
      </c>
      <c r="N24" s="22">
        <v>1743983.36520611</v>
      </c>
      <c r="O24" s="22">
        <v>1740</v>
      </c>
      <c r="P24" s="22">
        <v>10</v>
      </c>
      <c r="Q24" s="18"/>
      <c r="R24" s="18"/>
      <c r="S24" s="18"/>
      <c r="T24" s="18"/>
      <c r="U24" s="18"/>
      <c r="V24" s="18"/>
      <c r="W24" s="22">
        <v>1740</v>
      </c>
      <c r="X24" s="29">
        <f t="shared" si="1"/>
        <v>0.000425391881725009</v>
      </c>
    </row>
    <row r="25" spans="1:24">
      <c r="A25" s="22" t="s">
        <v>75</v>
      </c>
      <c r="B25" s="22">
        <v>619635.692307692</v>
      </c>
      <c r="C25" s="22">
        <v>620</v>
      </c>
      <c r="D25" s="22">
        <v>20</v>
      </c>
      <c r="E25" s="18"/>
      <c r="F25" s="18"/>
      <c r="G25" s="18"/>
      <c r="H25" s="18"/>
      <c r="I25" s="18"/>
      <c r="J25" s="18"/>
      <c r="K25" s="22">
        <v>620</v>
      </c>
      <c r="L25" s="18">
        <f t="shared" si="0"/>
        <v>0.00042609663602941</v>
      </c>
      <c r="M25" s="22" t="s">
        <v>75</v>
      </c>
      <c r="N25" s="22">
        <v>619635.692307692</v>
      </c>
      <c r="O25" s="22">
        <v>620</v>
      </c>
      <c r="P25" s="22">
        <v>20</v>
      </c>
      <c r="Q25" s="18"/>
      <c r="R25" s="18"/>
      <c r="S25" s="18"/>
      <c r="T25" s="18"/>
      <c r="U25" s="18"/>
      <c r="V25" s="18"/>
      <c r="W25" s="22">
        <v>620</v>
      </c>
      <c r="X25" s="29">
        <f t="shared" si="1"/>
        <v>0.000312802924543409</v>
      </c>
    </row>
    <row r="26" spans="1:24">
      <c r="A26" s="22" t="s">
        <v>76</v>
      </c>
      <c r="B26" s="22">
        <v>937320.01707213</v>
      </c>
      <c r="C26" s="22">
        <v>940</v>
      </c>
      <c r="D26" s="22">
        <v>30</v>
      </c>
      <c r="E26" s="18"/>
      <c r="F26" s="18"/>
      <c r="G26" s="18"/>
      <c r="H26" s="18"/>
      <c r="I26" s="18"/>
      <c r="J26" s="18"/>
      <c r="K26" s="22">
        <v>940</v>
      </c>
      <c r="L26" s="18">
        <f t="shared" si="0"/>
        <v>0.000766891425810583</v>
      </c>
      <c r="M26" s="22" t="s">
        <v>76</v>
      </c>
      <c r="N26" s="22">
        <v>937320.01707213</v>
      </c>
      <c r="O26" s="22">
        <v>940</v>
      </c>
      <c r="P26" s="22">
        <v>30</v>
      </c>
      <c r="Q26" s="18"/>
      <c r="R26" s="18"/>
      <c r="S26" s="18"/>
      <c r="T26" s="18"/>
      <c r="U26" s="18"/>
      <c r="V26" s="18"/>
      <c r="W26" s="22">
        <v>940</v>
      </c>
      <c r="X26" s="29">
        <f t="shared" si="1"/>
        <v>0.000785333638461256</v>
      </c>
    </row>
    <row r="27" spans="1:24">
      <c r="A27" s="22" t="s">
        <v>77</v>
      </c>
      <c r="B27" s="22">
        <v>1487418.76329999</v>
      </c>
      <c r="C27" s="22">
        <v>1490</v>
      </c>
      <c r="D27" s="22">
        <v>10</v>
      </c>
      <c r="E27" s="18"/>
      <c r="F27" s="18"/>
      <c r="G27" s="18"/>
      <c r="H27" s="18"/>
      <c r="I27" s="18"/>
      <c r="J27" s="18"/>
      <c r="K27" s="22">
        <v>1490</v>
      </c>
      <c r="L27" s="18">
        <f t="shared" si="0"/>
        <v>0.00067929654307322</v>
      </c>
      <c r="M27" s="22" t="s">
        <v>77</v>
      </c>
      <c r="N27" s="22">
        <v>1487418.76329999</v>
      </c>
      <c r="O27" s="22">
        <v>1490</v>
      </c>
      <c r="P27" s="22">
        <v>10</v>
      </c>
      <c r="Q27" s="18"/>
      <c r="R27" s="18"/>
      <c r="S27" s="18"/>
      <c r="T27" s="18"/>
      <c r="U27" s="18"/>
      <c r="V27" s="18"/>
      <c r="W27" s="22">
        <v>1490</v>
      </c>
      <c r="X27" s="29">
        <f t="shared" si="1"/>
        <v>0.000805813820505114</v>
      </c>
    </row>
    <row r="28" spans="1:24">
      <c r="A28" s="22" t="s">
        <v>78</v>
      </c>
      <c r="B28" s="22">
        <v>1115262.65929402</v>
      </c>
      <c r="C28" s="22">
        <v>1120</v>
      </c>
      <c r="D28" s="22">
        <v>20</v>
      </c>
      <c r="E28" s="18"/>
      <c r="F28" s="18"/>
      <c r="G28" s="18"/>
      <c r="H28" s="18"/>
      <c r="I28" s="18"/>
      <c r="J28" s="18"/>
      <c r="K28" s="22">
        <v>1120</v>
      </c>
      <c r="L28" s="18">
        <f t="shared" si="0"/>
        <v>0.000862745342241721</v>
      </c>
      <c r="M28" s="22" t="s">
        <v>78</v>
      </c>
      <c r="N28" s="22">
        <v>1115262.65929402</v>
      </c>
      <c r="O28" s="22">
        <v>1120</v>
      </c>
      <c r="P28" s="22">
        <v>20</v>
      </c>
      <c r="Q28" s="18"/>
      <c r="R28" s="18"/>
      <c r="S28" s="18"/>
      <c r="T28" s="18"/>
      <c r="U28" s="18"/>
      <c r="V28" s="18"/>
      <c r="W28" s="22">
        <v>1120</v>
      </c>
      <c r="X28" s="29">
        <f t="shared" si="1"/>
        <v>0.000983546632490468</v>
      </c>
    </row>
    <row r="29" spans="1:24">
      <c r="A29" s="22" t="s">
        <v>79</v>
      </c>
      <c r="B29" s="22">
        <v>1616227.16350169</v>
      </c>
      <c r="C29" s="22">
        <v>1620</v>
      </c>
      <c r="D29" s="22">
        <v>40</v>
      </c>
      <c r="E29" s="18"/>
      <c r="F29" s="18"/>
      <c r="G29" s="18"/>
      <c r="H29" s="18"/>
      <c r="I29" s="18"/>
      <c r="J29" s="18"/>
      <c r="K29" s="22">
        <v>1620</v>
      </c>
      <c r="L29" s="18">
        <f t="shared" si="0"/>
        <v>0.000535594689107577</v>
      </c>
      <c r="M29" s="22" t="s">
        <v>79</v>
      </c>
      <c r="N29" s="22">
        <v>1616227.16350169</v>
      </c>
      <c r="O29" s="22">
        <v>1620</v>
      </c>
      <c r="P29" s="22">
        <v>40</v>
      </c>
      <c r="Q29" s="18"/>
      <c r="R29" s="18"/>
      <c r="S29" s="18"/>
      <c r="T29" s="18"/>
      <c r="U29" s="18"/>
      <c r="V29" s="18"/>
      <c r="W29" s="22">
        <v>1620</v>
      </c>
      <c r="X29" s="29">
        <f t="shared" si="1"/>
        <v>0.00060813527344421</v>
      </c>
    </row>
    <row r="30" spans="1:24">
      <c r="A30" s="22" t="s">
        <v>80</v>
      </c>
      <c r="B30" s="22">
        <v>846457.913541334</v>
      </c>
      <c r="C30" s="22">
        <v>850</v>
      </c>
      <c r="D30" s="22">
        <v>30</v>
      </c>
      <c r="E30" s="18"/>
      <c r="F30" s="18"/>
      <c r="G30" s="18"/>
      <c r="H30" s="18"/>
      <c r="I30" s="18"/>
      <c r="J30" s="18"/>
      <c r="K30" s="22">
        <v>850</v>
      </c>
      <c r="L30" s="18">
        <f t="shared" si="0"/>
        <v>0.000682664402061171</v>
      </c>
      <c r="M30" s="22" t="s">
        <v>80</v>
      </c>
      <c r="N30" s="22">
        <v>846457.913541334</v>
      </c>
      <c r="O30" s="22">
        <v>850</v>
      </c>
      <c r="P30" s="22">
        <v>30</v>
      </c>
      <c r="Q30" s="18"/>
      <c r="R30" s="18"/>
      <c r="S30" s="18"/>
      <c r="T30" s="18"/>
      <c r="U30" s="18"/>
      <c r="V30" s="18"/>
      <c r="W30" s="22">
        <v>850</v>
      </c>
      <c r="X30" s="29">
        <f t="shared" si="1"/>
        <v>0.00064842047975079</v>
      </c>
    </row>
    <row r="31" spans="1:24">
      <c r="A31" s="22" t="s">
        <v>81</v>
      </c>
      <c r="B31" s="22">
        <v>1064684.74298839</v>
      </c>
      <c r="C31" s="22">
        <v>1060</v>
      </c>
      <c r="D31" s="22">
        <v>20</v>
      </c>
      <c r="E31" s="18"/>
      <c r="F31" s="18"/>
      <c r="G31" s="18"/>
      <c r="H31" s="18"/>
      <c r="I31" s="18"/>
      <c r="J31" s="18"/>
      <c r="K31" s="22">
        <v>1060</v>
      </c>
      <c r="L31" s="18">
        <f t="shared" si="0"/>
        <v>0.000843774319935552</v>
      </c>
      <c r="M31" s="22" t="s">
        <v>81</v>
      </c>
      <c r="N31" s="22">
        <v>1064684.74298839</v>
      </c>
      <c r="O31" s="22">
        <v>1060</v>
      </c>
      <c r="P31" s="22">
        <v>20</v>
      </c>
      <c r="Q31" s="18"/>
      <c r="R31" s="18"/>
      <c r="S31" s="18"/>
      <c r="T31" s="18"/>
      <c r="U31" s="18"/>
      <c r="V31" s="18"/>
      <c r="W31" s="22">
        <v>1060</v>
      </c>
      <c r="X31" s="29">
        <f t="shared" si="1"/>
        <v>0.000934083490580306</v>
      </c>
    </row>
    <row r="32" spans="1:24">
      <c r="A32" s="22" t="s">
        <v>82</v>
      </c>
      <c r="B32" s="22">
        <v>912519.225185338</v>
      </c>
      <c r="C32" s="22">
        <v>910</v>
      </c>
      <c r="D32" s="22">
        <v>20</v>
      </c>
      <c r="E32" s="18"/>
      <c r="F32" s="18"/>
      <c r="G32" s="18"/>
      <c r="H32" s="18"/>
      <c r="I32" s="18"/>
      <c r="J32" s="18"/>
      <c r="K32" s="22">
        <v>910</v>
      </c>
      <c r="L32" s="18">
        <f t="shared" si="0"/>
        <v>0.000740866553450337</v>
      </c>
      <c r="M32" s="22" t="s">
        <v>82</v>
      </c>
      <c r="N32" s="22">
        <v>912519.225185338</v>
      </c>
      <c r="O32" s="22">
        <v>910</v>
      </c>
      <c r="P32" s="22">
        <v>20</v>
      </c>
      <c r="Q32" s="18"/>
      <c r="R32" s="18"/>
      <c r="S32" s="18"/>
      <c r="T32" s="18"/>
      <c r="U32" s="18"/>
      <c r="V32" s="18"/>
      <c r="W32" s="22">
        <v>910</v>
      </c>
      <c r="X32" s="29">
        <f t="shared" si="1"/>
        <v>0.000741078913120499</v>
      </c>
    </row>
    <row r="33" spans="1:24">
      <c r="A33" s="22" t="s">
        <v>83</v>
      </c>
      <c r="B33" s="22">
        <v>618542.977619202</v>
      </c>
      <c r="C33" s="22">
        <v>620</v>
      </c>
      <c r="D33" s="22">
        <v>10</v>
      </c>
      <c r="E33" s="18"/>
      <c r="F33" s="18"/>
      <c r="G33" s="18"/>
      <c r="H33" s="18"/>
      <c r="I33" s="18"/>
      <c r="J33" s="18"/>
      <c r="K33" s="22">
        <v>620</v>
      </c>
      <c r="L33" s="18">
        <f t="shared" si="0"/>
        <v>0.00042609663602941</v>
      </c>
      <c r="M33" s="22" t="s">
        <v>83</v>
      </c>
      <c r="N33" s="22">
        <v>618542.977619202</v>
      </c>
      <c r="O33" s="22">
        <v>620</v>
      </c>
      <c r="P33" s="22">
        <v>10</v>
      </c>
      <c r="Q33" s="18"/>
      <c r="R33" s="18"/>
      <c r="S33" s="18"/>
      <c r="T33" s="18"/>
      <c r="U33" s="18"/>
      <c r="V33" s="18"/>
      <c r="W33" s="22">
        <v>620</v>
      </c>
      <c r="X33" s="29">
        <f t="shared" si="1"/>
        <v>0.000312802924543409</v>
      </c>
    </row>
    <row r="34" spans="1:24">
      <c r="A34" s="22" t="s">
        <v>84</v>
      </c>
      <c r="B34" s="22">
        <v>1221841.00439575</v>
      </c>
      <c r="C34" s="22">
        <v>1220</v>
      </c>
      <c r="D34" s="22">
        <v>30</v>
      </c>
      <c r="E34" s="18"/>
      <c r="F34" s="18"/>
      <c r="G34" s="18"/>
      <c r="H34" s="18"/>
      <c r="I34" s="18"/>
      <c r="J34" s="18"/>
      <c r="K34" s="22">
        <v>1220</v>
      </c>
      <c r="L34" s="18">
        <f t="shared" si="0"/>
        <v>0.000862078911557067</v>
      </c>
      <c r="M34" s="22" t="s">
        <v>84</v>
      </c>
      <c r="N34" s="22">
        <v>1221841.00439575</v>
      </c>
      <c r="O34" s="22">
        <v>1220</v>
      </c>
      <c r="P34" s="22">
        <v>30</v>
      </c>
      <c r="Q34" s="18"/>
      <c r="R34" s="18"/>
      <c r="S34" s="18"/>
      <c r="T34" s="18"/>
      <c r="U34" s="18"/>
      <c r="V34" s="18"/>
      <c r="W34" s="22">
        <v>1220</v>
      </c>
      <c r="X34" s="29">
        <f t="shared" si="1"/>
        <v>0.00101751663125388</v>
      </c>
    </row>
    <row r="35" spans="1:24">
      <c r="A35" s="22" t="s">
        <v>85</v>
      </c>
      <c r="B35" s="22">
        <v>946268.471995066</v>
      </c>
      <c r="C35" s="22">
        <v>950</v>
      </c>
      <c r="D35" s="22">
        <v>30</v>
      </c>
      <c r="E35" s="18"/>
      <c r="F35" s="18"/>
      <c r="G35" s="18"/>
      <c r="H35" s="18"/>
      <c r="I35" s="18"/>
      <c r="J35" s="18"/>
      <c r="K35" s="22">
        <v>950</v>
      </c>
      <c r="L35" s="18">
        <f t="shared" si="0"/>
        <v>0.000775034633349871</v>
      </c>
      <c r="M35" s="22" t="s">
        <v>85</v>
      </c>
      <c r="N35" s="22">
        <v>946268.471995066</v>
      </c>
      <c r="O35" s="22">
        <v>950</v>
      </c>
      <c r="P35" s="22">
        <v>30</v>
      </c>
      <c r="Q35" s="18"/>
      <c r="R35" s="18"/>
      <c r="S35" s="18"/>
      <c r="T35" s="18"/>
      <c r="U35" s="18"/>
      <c r="V35" s="18"/>
      <c r="W35" s="22">
        <v>950</v>
      </c>
      <c r="X35" s="29">
        <f t="shared" si="1"/>
        <v>0.000799623826581263</v>
      </c>
    </row>
    <row r="36" spans="1:24">
      <c r="A36" s="22" t="s">
        <v>86</v>
      </c>
      <c r="B36" s="22">
        <v>904372.744543678</v>
      </c>
      <c r="C36" s="22">
        <v>900</v>
      </c>
      <c r="D36" s="22">
        <v>10</v>
      </c>
      <c r="E36" s="18"/>
      <c r="F36" s="18"/>
      <c r="G36" s="18"/>
      <c r="H36" s="18"/>
      <c r="I36" s="18"/>
      <c r="J36" s="18"/>
      <c r="K36" s="22">
        <v>900</v>
      </c>
      <c r="L36" s="18">
        <f t="shared" si="0"/>
        <v>0.000731697022568296</v>
      </c>
      <c r="M36" s="22" t="s">
        <v>86</v>
      </c>
      <c r="N36" s="22">
        <v>904372.744543678</v>
      </c>
      <c r="O36" s="22">
        <v>900</v>
      </c>
      <c r="P36" s="22">
        <v>10</v>
      </c>
      <c r="Q36" s="18"/>
      <c r="R36" s="18"/>
      <c r="S36" s="18"/>
      <c r="T36" s="18"/>
      <c r="U36" s="18"/>
      <c r="V36" s="18"/>
      <c r="W36" s="22">
        <v>900</v>
      </c>
      <c r="X36" s="29">
        <f t="shared" si="1"/>
        <v>0.000725943497278473</v>
      </c>
    </row>
    <row r="37" spans="1:24">
      <c r="A37" s="22" t="s">
        <v>87</v>
      </c>
      <c r="B37" s="22">
        <v>1271133.63354565</v>
      </c>
      <c r="C37" s="22">
        <v>1270</v>
      </c>
      <c r="D37" s="22">
        <v>10</v>
      </c>
      <c r="E37" s="18"/>
      <c r="F37" s="18"/>
      <c r="G37" s="18"/>
      <c r="H37" s="18"/>
      <c r="I37" s="18"/>
      <c r="J37" s="18"/>
      <c r="K37" s="22">
        <v>1270</v>
      </c>
      <c r="L37" s="18">
        <f t="shared" si="0"/>
        <v>0.000846599304232362</v>
      </c>
      <c r="M37" s="22" t="s">
        <v>87</v>
      </c>
      <c r="N37" s="22">
        <v>1271133.63354565</v>
      </c>
      <c r="O37" s="22">
        <v>1270</v>
      </c>
      <c r="P37" s="22">
        <v>10</v>
      </c>
      <c r="Q37" s="18"/>
      <c r="R37" s="18"/>
      <c r="S37" s="18"/>
      <c r="T37" s="18"/>
      <c r="U37" s="18"/>
      <c r="V37" s="18"/>
      <c r="W37" s="22">
        <v>1270</v>
      </c>
      <c r="X37" s="29">
        <f t="shared" si="1"/>
        <v>0.00100999683568655</v>
      </c>
    </row>
    <row r="38" spans="1:24">
      <c r="A38" s="22" t="s">
        <v>88</v>
      </c>
      <c r="B38" s="22">
        <v>1857351.11604715</v>
      </c>
      <c r="C38" s="22">
        <v>1860</v>
      </c>
      <c r="D38" s="22">
        <v>20</v>
      </c>
      <c r="E38" s="18"/>
      <c r="F38" s="18"/>
      <c r="G38" s="18"/>
      <c r="H38" s="18"/>
      <c r="I38" s="18"/>
      <c r="J38" s="18"/>
      <c r="K38" s="22">
        <v>1860</v>
      </c>
      <c r="L38" s="18">
        <f t="shared" si="0"/>
        <v>0.000279954151558593</v>
      </c>
      <c r="M38" s="22" t="s">
        <v>88</v>
      </c>
      <c r="N38" s="22">
        <v>1857351.11604715</v>
      </c>
      <c r="O38" s="22">
        <v>1860</v>
      </c>
      <c r="P38" s="22">
        <v>20</v>
      </c>
      <c r="Q38" s="18"/>
      <c r="R38" s="18"/>
      <c r="S38" s="18"/>
      <c r="T38" s="18"/>
      <c r="U38" s="18"/>
      <c r="V38" s="18"/>
      <c r="W38" s="22">
        <v>1860</v>
      </c>
      <c r="X38" s="29">
        <f t="shared" si="1"/>
        <v>0.000270953166785655</v>
      </c>
    </row>
    <row r="39" spans="1:24">
      <c r="A39" s="22" t="s">
        <v>89</v>
      </c>
      <c r="B39" s="22">
        <v>998243.673088948</v>
      </c>
      <c r="C39" s="22">
        <v>1000</v>
      </c>
      <c r="D39" s="22">
        <v>10</v>
      </c>
      <c r="E39" s="18"/>
      <c r="F39" s="18"/>
      <c r="G39" s="18"/>
      <c r="H39" s="18"/>
      <c r="I39" s="18"/>
      <c r="J39" s="18"/>
      <c r="K39" s="22">
        <v>1000</v>
      </c>
      <c r="L39" s="18">
        <f t="shared" si="0"/>
        <v>0.000811291121492299</v>
      </c>
      <c r="M39" s="22" t="s">
        <v>89</v>
      </c>
      <c r="N39" s="22">
        <v>998243.673088948</v>
      </c>
      <c r="O39" s="22">
        <v>1000</v>
      </c>
      <c r="P39" s="22">
        <v>10</v>
      </c>
      <c r="Q39" s="18"/>
      <c r="R39" s="18"/>
      <c r="S39" s="18"/>
      <c r="T39" s="18"/>
      <c r="U39" s="18"/>
      <c r="V39" s="18"/>
      <c r="W39" s="22">
        <v>1000</v>
      </c>
      <c r="X39" s="29">
        <f t="shared" si="1"/>
        <v>0.000866573580342149</v>
      </c>
    </row>
    <row r="40" spans="1:24">
      <c r="A40" s="22" t="s">
        <v>90</v>
      </c>
      <c r="B40" s="22">
        <v>1638647.7466947</v>
      </c>
      <c r="C40" s="22">
        <v>1640</v>
      </c>
      <c r="D40" s="22">
        <v>40</v>
      </c>
      <c r="E40" s="18"/>
      <c r="F40" s="18"/>
      <c r="G40" s="18"/>
      <c r="H40" s="18"/>
      <c r="I40" s="18"/>
      <c r="J40" s="18"/>
      <c r="K40" s="22">
        <v>1640</v>
      </c>
      <c r="L40" s="18">
        <f t="shared" si="0"/>
        <v>0.000512714090789918</v>
      </c>
      <c r="M40" s="22" t="s">
        <v>90</v>
      </c>
      <c r="N40" s="22">
        <v>1638647.7466947</v>
      </c>
      <c r="O40" s="22">
        <v>1640</v>
      </c>
      <c r="P40" s="22">
        <v>40</v>
      </c>
      <c r="Q40" s="18"/>
      <c r="R40" s="18"/>
      <c r="S40" s="18"/>
      <c r="T40" s="18"/>
      <c r="U40" s="18"/>
      <c r="V40" s="18"/>
      <c r="W40" s="22">
        <v>1640</v>
      </c>
      <c r="X40" s="29">
        <f t="shared" si="1"/>
        <v>0.00057670932077178</v>
      </c>
    </row>
    <row r="41" spans="1:24">
      <c r="A41" s="22" t="s">
        <v>91</v>
      </c>
      <c r="B41" s="22">
        <v>1469012.38253441</v>
      </c>
      <c r="C41" s="22">
        <v>1470</v>
      </c>
      <c r="D41" s="22">
        <v>10</v>
      </c>
      <c r="E41" s="18"/>
      <c r="F41" s="18"/>
      <c r="G41" s="18"/>
      <c r="H41" s="18"/>
      <c r="I41" s="18"/>
      <c r="J41" s="18"/>
      <c r="K41" s="22">
        <v>1470</v>
      </c>
      <c r="L41" s="18">
        <f t="shared" si="0"/>
        <v>0.000699615403268086</v>
      </c>
      <c r="M41" s="22" t="s">
        <v>91</v>
      </c>
      <c r="N41" s="22">
        <v>1469012.38253441</v>
      </c>
      <c r="O41" s="22">
        <v>1470</v>
      </c>
      <c r="P41" s="22">
        <v>10</v>
      </c>
      <c r="Q41" s="18"/>
      <c r="R41" s="18"/>
      <c r="S41" s="18"/>
      <c r="T41" s="18"/>
      <c r="U41" s="18"/>
      <c r="V41" s="18"/>
      <c r="W41" s="22">
        <v>1470</v>
      </c>
      <c r="X41" s="29">
        <f t="shared" si="1"/>
        <v>0.000833301394459655</v>
      </c>
    </row>
    <row r="42" spans="1:24">
      <c r="A42" s="22" t="s">
        <v>92</v>
      </c>
      <c r="B42" s="22">
        <v>1257490.95520355</v>
      </c>
      <c r="C42" s="22">
        <v>1260</v>
      </c>
      <c r="D42" s="22">
        <v>10</v>
      </c>
      <c r="E42" s="18"/>
      <c r="F42" s="18"/>
      <c r="G42" s="18"/>
      <c r="H42" s="18"/>
      <c r="I42" s="18"/>
      <c r="J42" s="18"/>
      <c r="K42" s="22">
        <v>1260</v>
      </c>
      <c r="L42" s="18">
        <f t="shared" si="0"/>
        <v>0.000850476791544533</v>
      </c>
      <c r="M42" s="22" t="s">
        <v>92</v>
      </c>
      <c r="N42" s="22">
        <v>1257490.95520355</v>
      </c>
      <c r="O42" s="22">
        <v>1260</v>
      </c>
      <c r="P42" s="22">
        <v>10</v>
      </c>
      <c r="Q42" s="18"/>
      <c r="R42" s="18"/>
      <c r="S42" s="18"/>
      <c r="T42" s="18"/>
      <c r="U42" s="18"/>
      <c r="V42" s="18"/>
      <c r="W42" s="22">
        <v>1260</v>
      </c>
      <c r="X42" s="29">
        <f t="shared" si="1"/>
        <v>0.00101281323746905</v>
      </c>
    </row>
    <row r="43" spans="1:24">
      <c r="A43" s="22" t="s">
        <v>93</v>
      </c>
      <c r="B43" s="18">
        <v>1500402.32127289</v>
      </c>
      <c r="C43" s="22">
        <v>1500</v>
      </c>
      <c r="D43" s="18">
        <v>40</v>
      </c>
      <c r="E43" s="18"/>
      <c r="F43" s="18"/>
      <c r="G43" s="18"/>
      <c r="H43" s="18"/>
      <c r="I43" s="18"/>
      <c r="J43" s="18"/>
      <c r="K43" s="22">
        <v>1500</v>
      </c>
      <c r="L43" s="18">
        <f t="shared" si="0"/>
        <v>0.000668884870647541</v>
      </c>
      <c r="M43" s="22" t="s">
        <v>93</v>
      </c>
      <c r="N43" s="18">
        <v>1500402.32127289</v>
      </c>
      <c r="O43" s="22">
        <v>1500</v>
      </c>
      <c r="P43" s="18">
        <v>40</v>
      </c>
      <c r="Q43" s="18"/>
      <c r="R43" s="18"/>
      <c r="S43" s="18"/>
      <c r="T43" s="18"/>
      <c r="U43" s="18"/>
      <c r="V43" s="18"/>
      <c r="W43" s="22">
        <v>1500</v>
      </c>
      <c r="X43" s="29">
        <f t="shared" si="1"/>
        <v>0.0007916390736057</v>
      </c>
    </row>
  </sheetData>
  <sortState ref="K3:K43">
    <sortCondition ref="K3"/>
  </sortState>
  <mergeCells count="2">
    <mergeCell ref="A1:L1"/>
    <mergeCell ref="M1:X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workbookViewId="0">
      <selection activeCell="H8" sqref="H8"/>
    </sheetView>
  </sheetViews>
  <sheetFormatPr defaultColWidth="8.88888888888889" defaultRowHeight="14.4" outlineLevelRow="5"/>
  <cols>
    <col min="2" max="2" width="12.8888888888889"/>
    <col min="3" max="3" width="24.3333333333333" customWidth="1"/>
    <col min="4" max="4" width="12.4444444444444" customWidth="1"/>
    <col min="5" max="5" width="12.6666666666667" customWidth="1"/>
    <col min="6" max="6" width="13.4444444444444" customWidth="1"/>
    <col min="7" max="7" width="12.7777777777778" customWidth="1"/>
    <col min="8" max="8" width="10.5555555555556" customWidth="1"/>
    <col min="12" max="12" width="12.8888888888889"/>
  </cols>
  <sheetData>
    <row r="1" spans="1:12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>
      <c r="A2" s="14" t="s">
        <v>2</v>
      </c>
      <c r="B2" s="14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5" t="s">
        <v>9</v>
      </c>
      <c r="I2" s="15" t="s">
        <v>10</v>
      </c>
      <c r="J2" s="15" t="s">
        <v>11</v>
      </c>
      <c r="K2" s="15" t="s">
        <v>4</v>
      </c>
      <c r="L2" s="15" t="s">
        <v>95</v>
      </c>
      <c r="M2" s="19"/>
      <c r="N2" s="19"/>
    </row>
    <row r="3" spans="1:23">
      <c r="A3" s="14" t="s">
        <v>96</v>
      </c>
      <c r="B3" s="16">
        <v>2420103.88244979</v>
      </c>
      <c r="C3" s="17">
        <v>2420</v>
      </c>
      <c r="D3" s="15">
        <v>20</v>
      </c>
      <c r="E3" s="15">
        <f>AVERAGE(C3:C6)</f>
        <v>2530</v>
      </c>
      <c r="F3" s="18" t="s">
        <v>97</v>
      </c>
      <c r="G3" s="15">
        <f>MEDIAN(C3:C6)</f>
        <v>2480</v>
      </c>
      <c r="H3" s="15">
        <f>_xlfn.STDEV.S(C3:C6)</f>
        <v>248.596057893121</v>
      </c>
      <c r="I3" s="15"/>
      <c r="J3" s="15"/>
      <c r="K3" s="17">
        <v>2420</v>
      </c>
      <c r="L3" s="15">
        <f>_xlfn.NORM.DIST(K3,$E$3,$H$3,FALSE)</f>
        <v>0.00145512380147057</v>
      </c>
      <c r="M3" s="19"/>
      <c r="N3" s="20"/>
      <c r="O3" s="21"/>
      <c r="W3" s="21"/>
    </row>
    <row r="4" spans="1:23">
      <c r="A4" s="14" t="s">
        <v>98</v>
      </c>
      <c r="B4" s="16">
        <v>2542804.50153272</v>
      </c>
      <c r="C4" s="17">
        <v>2540</v>
      </c>
      <c r="D4" s="15">
        <v>30</v>
      </c>
      <c r="E4" s="15"/>
      <c r="F4" s="15"/>
      <c r="G4" s="15"/>
      <c r="H4" s="15"/>
      <c r="I4" s="15"/>
      <c r="J4" s="15"/>
      <c r="K4" s="17">
        <v>2540</v>
      </c>
      <c r="L4" s="15">
        <f>_xlfn.NORM.DIST(K4,$E$3,$H$3,FALSE)</f>
        <v>0.00160348335962852</v>
      </c>
      <c r="M4" s="19"/>
      <c r="N4" s="20"/>
      <c r="O4" s="21"/>
      <c r="W4" s="19"/>
    </row>
    <row r="5" spans="1:23">
      <c r="A5" s="14" t="s">
        <v>99</v>
      </c>
      <c r="B5" s="16">
        <v>2865537.24937625</v>
      </c>
      <c r="C5" s="17">
        <v>2870</v>
      </c>
      <c r="D5" s="15">
        <v>20</v>
      </c>
      <c r="E5" s="15"/>
      <c r="F5" s="15"/>
      <c r="G5" s="15"/>
      <c r="H5" s="15"/>
      <c r="I5" s="15"/>
      <c r="J5" s="15"/>
      <c r="K5" s="17">
        <v>2870</v>
      </c>
      <c r="L5" s="15">
        <f>_xlfn.NORM.DIST(K5,$E$3,$H$3,FALSE)</f>
        <v>0.000629841135762744</v>
      </c>
      <c r="M5" s="19"/>
      <c r="N5" s="20"/>
      <c r="O5" s="21"/>
      <c r="W5" s="21"/>
    </row>
    <row r="6" spans="1:23">
      <c r="A6" s="14" t="s">
        <v>100</v>
      </c>
      <c r="B6" s="16">
        <v>2285812.59920426</v>
      </c>
      <c r="C6" s="17">
        <v>2290</v>
      </c>
      <c r="D6" s="15">
        <v>20</v>
      </c>
      <c r="E6" s="15"/>
      <c r="F6" s="15"/>
      <c r="G6" s="15"/>
      <c r="H6" s="15"/>
      <c r="I6" s="15"/>
      <c r="J6" s="15"/>
      <c r="K6" s="17">
        <v>2290</v>
      </c>
      <c r="L6" s="15">
        <f>_xlfn.NORM.DIST(K6,$E$3,$H$3,FALSE)</f>
        <v>0.00100699233962145</v>
      </c>
      <c r="M6" s="19"/>
      <c r="N6" s="20"/>
      <c r="O6" s="21"/>
      <c r="W6" s="19"/>
    </row>
  </sheetData>
  <mergeCells count="1">
    <mergeCell ref="A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"/>
  <sheetViews>
    <sheetView tabSelected="1" workbookViewId="0">
      <selection activeCell="X7" sqref="X7"/>
    </sheetView>
  </sheetViews>
  <sheetFormatPr defaultColWidth="8.88888888888889" defaultRowHeight="14.4" outlineLevelRow="5"/>
  <cols>
    <col min="1" max="11" width="8.88888888888889" style="1"/>
    <col min="12" max="12" width="12.8888888888889" style="1"/>
    <col min="13" max="23" width="8.88888888888889" style="1"/>
    <col min="24" max="24" width="12.8888888888889" style="1"/>
    <col min="25" max="16384" width="8.88888888888889" style="1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2" t="s">
        <v>1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4</v>
      </c>
      <c r="L2" s="4" t="s">
        <v>95</v>
      </c>
      <c r="M2" s="3" t="s">
        <v>2</v>
      </c>
      <c r="N2" s="3" t="s">
        <v>3</v>
      </c>
      <c r="O2" s="4" t="s">
        <v>4</v>
      </c>
      <c r="P2" s="4" t="s">
        <v>5</v>
      </c>
      <c r="Q2" s="4" t="s">
        <v>6</v>
      </c>
      <c r="R2" s="4" t="s">
        <v>7</v>
      </c>
      <c r="S2" s="4" t="s">
        <v>8</v>
      </c>
      <c r="T2" s="4" t="s">
        <v>9</v>
      </c>
      <c r="U2" s="4" t="s">
        <v>10</v>
      </c>
      <c r="V2" s="4" t="s">
        <v>11</v>
      </c>
      <c r="W2" s="4" t="s">
        <v>4</v>
      </c>
      <c r="X2" s="4" t="s">
        <v>95</v>
      </c>
    </row>
    <row r="3" spans="1:24">
      <c r="A3" s="3" t="s">
        <v>101</v>
      </c>
      <c r="B3" s="5">
        <v>2420103.88244979</v>
      </c>
      <c r="C3" s="6">
        <v>2010</v>
      </c>
      <c r="D3" s="4">
        <v>10</v>
      </c>
      <c r="E3" s="4">
        <f>AVERAGE(C3:C6)</f>
        <v>2226.5</v>
      </c>
      <c r="F3" s="7">
        <f>MODE(C3:C6)</f>
        <v>2010</v>
      </c>
      <c r="G3" s="4">
        <f>MEDIAN(C3:C6)</f>
        <v>2018</v>
      </c>
      <c r="H3" s="4">
        <f>_xlfn.STDEV.S(C3:C6)</f>
        <v>422.400678661071</v>
      </c>
      <c r="I3" s="4"/>
      <c r="J3" s="4"/>
      <c r="K3" s="6">
        <v>2010</v>
      </c>
      <c r="L3" s="4">
        <f>_xlfn.NORM.DIST(K3,$E$3,$H$3,FALSE)</f>
        <v>0.00082820914705608</v>
      </c>
      <c r="M3" s="3" t="s">
        <v>101</v>
      </c>
      <c r="N3" s="5">
        <v>2420103.88244979</v>
      </c>
      <c r="O3" s="6">
        <v>2010</v>
      </c>
      <c r="P3" s="4">
        <v>10</v>
      </c>
      <c r="Q3" s="4">
        <f>AVERAGE(O3:O6)</f>
        <v>1984</v>
      </c>
      <c r="R3" s="7" t="e">
        <f>MODE(O3:O6)</f>
        <v>#N/A</v>
      </c>
      <c r="S3" s="4">
        <f>MEDIAN(O3:O6)</f>
        <v>2018</v>
      </c>
      <c r="T3" s="4">
        <f>_xlfn.STDEV.S(O3:O6)</f>
        <v>83.5703296631047</v>
      </c>
      <c r="U3" s="4"/>
      <c r="V3" s="4"/>
      <c r="W3" s="6">
        <v>2010</v>
      </c>
      <c r="X3" s="4">
        <f>_xlfn.NORM.DIST(W3,$Q$3,$T$3,FALSE)</f>
        <v>0.00454820142014722</v>
      </c>
    </row>
    <row r="4" spans="1:24">
      <c r="A4" s="8" t="s">
        <v>102</v>
      </c>
      <c r="B4" s="9">
        <v>2542804.50153272</v>
      </c>
      <c r="C4" s="10">
        <v>2010</v>
      </c>
      <c r="D4" s="11">
        <v>10</v>
      </c>
      <c r="E4" s="4"/>
      <c r="F4" s="4"/>
      <c r="G4" s="4"/>
      <c r="H4" s="4"/>
      <c r="I4" s="4"/>
      <c r="J4" s="4"/>
      <c r="K4" s="10">
        <v>2010</v>
      </c>
      <c r="L4" s="4">
        <f>_xlfn.NORM.DIST(K4,$E$3,$H$3,FALSE)</f>
        <v>0.00082820914705608</v>
      </c>
      <c r="M4" s="8" t="s">
        <v>102</v>
      </c>
      <c r="N4" s="9">
        <v>2542804.50153272</v>
      </c>
      <c r="O4" s="10">
        <v>2040</v>
      </c>
      <c r="P4" s="11">
        <v>10</v>
      </c>
      <c r="Q4" s="4"/>
      <c r="R4" s="4"/>
      <c r="S4" s="4"/>
      <c r="T4" s="4"/>
      <c r="U4" s="4"/>
      <c r="V4" s="4"/>
      <c r="W4" s="10">
        <v>2040</v>
      </c>
      <c r="X4" s="4">
        <f>_xlfn.NORM.DIST(W4,$Q$3,$T$3,FALSE)</f>
        <v>0.00381375788303787</v>
      </c>
    </row>
    <row r="5" spans="1:24">
      <c r="A5" s="3" t="s">
        <v>103</v>
      </c>
      <c r="B5" s="5">
        <v>2865537.24937625</v>
      </c>
      <c r="C5" s="6">
        <v>2026</v>
      </c>
      <c r="D5" s="4">
        <v>5</v>
      </c>
      <c r="E5" s="4"/>
      <c r="F5" s="4"/>
      <c r="G5" s="4"/>
      <c r="H5" s="4"/>
      <c r="I5" s="4"/>
      <c r="J5" s="4"/>
      <c r="K5" s="6">
        <v>2026</v>
      </c>
      <c r="L5" s="4">
        <f>_xlfn.NORM.DIST(K5,$E$3,$H$3,FALSE)</f>
        <v>0.000843840019671278</v>
      </c>
      <c r="M5" s="3" t="s">
        <v>103</v>
      </c>
      <c r="N5" s="5">
        <v>2865537.24937625</v>
      </c>
      <c r="O5" s="6">
        <v>2026</v>
      </c>
      <c r="P5" s="4">
        <v>5</v>
      </c>
      <c r="Q5" s="4"/>
      <c r="R5" s="4"/>
      <c r="S5" s="4"/>
      <c r="T5" s="4"/>
      <c r="U5" s="4"/>
      <c r="V5" s="4"/>
      <c r="W5" s="6">
        <v>2026</v>
      </c>
      <c r="X5" s="4">
        <f>_xlfn.NORM.DIST(W5,$Q$3,$T$3,FALSE)</f>
        <v>0.00420737752205137</v>
      </c>
    </row>
    <row r="6" spans="1:24">
      <c r="A6" s="3" t="s">
        <v>104</v>
      </c>
      <c r="B6" s="5">
        <v>2285812.59920426</v>
      </c>
      <c r="C6" s="6">
        <v>2860</v>
      </c>
      <c r="D6" s="4">
        <v>10</v>
      </c>
      <c r="E6" s="4"/>
      <c r="F6" s="4"/>
      <c r="G6" s="4"/>
      <c r="H6" s="4"/>
      <c r="I6" s="4"/>
      <c r="J6" s="4"/>
      <c r="K6" s="6">
        <v>2860</v>
      </c>
      <c r="L6" s="4">
        <f>_xlfn.NORM.DIST(K6,$E$3,$H$3,FALSE)</f>
        <v>0.000306732608255567</v>
      </c>
      <c r="M6" s="3" t="s">
        <v>104</v>
      </c>
      <c r="N6" s="5">
        <v>2285812.59920426</v>
      </c>
      <c r="O6" s="6">
        <v>1860</v>
      </c>
      <c r="P6" s="4">
        <v>10</v>
      </c>
      <c r="Q6" s="4"/>
      <c r="R6" s="4"/>
      <c r="S6" s="4"/>
      <c r="T6" s="4"/>
      <c r="U6" s="4"/>
      <c r="V6" s="4"/>
      <c r="W6" s="6">
        <v>1860</v>
      </c>
      <c r="X6" s="4">
        <f>_xlfn.NORM.DIST(W6,$Q$3,$T$3,FALSE)</f>
        <v>0.00158776340790072</v>
      </c>
    </row>
  </sheetData>
  <mergeCells count="2">
    <mergeCell ref="A1:L1"/>
    <mergeCell ref="M1:X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SampleA Unmodified Material Gro</vt:lpstr>
      <vt:lpstr>SampleB Unmodified Polymer Grou</vt:lpstr>
      <vt:lpstr>SampleC Modified Material Group</vt:lpstr>
      <vt:lpstr>SampleD Modified Polymer 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v</cp:lastModifiedBy>
  <dcterms:created xsi:type="dcterms:W3CDTF">2023-03-01T11:55:00Z</dcterms:created>
  <dcterms:modified xsi:type="dcterms:W3CDTF">2023-03-04T13:03:47Z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5B420EB7725841D1845697A6C35B79EA</vt:lpwstr>
  </property>
  <property fmtid="{D5CDD505-2E9C-101B-9397-08002B2CF9AE}" pid="3" name="KSOProductBuildVer">
    <vt:lpwstr>2052-11.1.0.12763</vt:lpwstr>
  </property>
</Properties>
</file>