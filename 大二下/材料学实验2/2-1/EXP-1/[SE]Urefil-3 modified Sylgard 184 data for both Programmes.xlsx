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048" windowHeight="9264" activeTab="5"/>
  </bookViews>
  <sheets>
    <sheet name="MA" sheetId="3" r:id="rId1"/>
    <sheet name="MB" sheetId="1" r:id="rId2"/>
    <sheet name="MC" sheetId="4" r:id="rId3"/>
    <sheet name="MD" sheetId="10" r:id="rId4"/>
    <sheet name="PA" sheetId="7" r:id="rId5"/>
    <sheet name="PB" sheetId="6" r:id="rId6"/>
    <sheet name="PC" sheetId="8" r:id="rId7"/>
    <sheet name="PD" sheetId="5" r:id="rId8"/>
  </sheets>
  <calcPr calcId="144525"/>
</workbook>
</file>

<file path=xl/sharedStrings.xml><?xml version="1.0" encoding="utf-8"?>
<sst xmlns="http://schemas.openxmlformats.org/spreadsheetml/2006/main" count="152" uniqueCount="28">
  <si>
    <t>Sample Number:</t>
  </si>
  <si>
    <t>Materials A</t>
  </si>
  <si>
    <t>Cross-section dimensions:</t>
  </si>
  <si>
    <t>Width / mm:</t>
  </si>
  <si>
    <t>Area (m2)</t>
  </si>
  <si>
    <t>Thickness / mm:</t>
  </si>
  <si>
    <t xml:space="preserve">Weight applied </t>
  </si>
  <si>
    <t>Distance between marks</t>
  </si>
  <si>
    <t>unit = grams</t>
  </si>
  <si>
    <t>unit = mm</t>
  </si>
  <si>
    <t>Strain</t>
  </si>
  <si>
    <t>Stress</t>
  </si>
  <si>
    <t>Mass Resin</t>
  </si>
  <si>
    <t>60g</t>
  </si>
  <si>
    <t>Modulus</t>
  </si>
  <si>
    <t>Mass Crosslinker</t>
  </si>
  <si>
    <t>6.1 g</t>
  </si>
  <si>
    <t>Mass Urefil-3</t>
  </si>
  <si>
    <t>0.6 g</t>
  </si>
  <si>
    <t>Materials B</t>
  </si>
  <si>
    <t>Materials C</t>
  </si>
  <si>
    <t>Materials D</t>
  </si>
  <si>
    <t>Polymers A</t>
  </si>
  <si>
    <t>6 g</t>
  </si>
  <si>
    <t>0.7 g</t>
  </si>
  <si>
    <t>Polymers B</t>
  </si>
  <si>
    <t>Polymers C</t>
  </si>
  <si>
    <t>Polymers D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</si>
</sst>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indexed="8"/>
      <name val="Calibri"/>
      <charset val="134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/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/>
      <top style="thin">
        <color indexed="10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5" borderId="1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15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0" borderId="17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5" fillId="13" borderId="18" applyNumberFormat="0" applyAlignment="0" applyProtection="0">
      <alignment vertical="center"/>
    </xf>
    <xf numFmtId="0" fontId="16" fillId="13" borderId="14" applyNumberFormat="0" applyAlignment="0" applyProtection="0">
      <alignment vertical="center"/>
    </xf>
    <xf numFmtId="0" fontId="17" fillId="14" borderId="19" applyNumberForma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20">
    <xf numFmtId="0" fontId="0" fillId="0" borderId="0" xfId="0"/>
    <xf numFmtId="49" fontId="1" fillId="2" borderId="1" xfId="0" applyNumberFormat="1" applyFont="1" applyFill="1" applyBorder="1"/>
    <xf numFmtId="49" fontId="0" fillId="2" borderId="1" xfId="0" applyNumberFormat="1" applyFill="1" applyBorder="1"/>
    <xf numFmtId="49" fontId="1" fillId="2" borderId="2" xfId="0" applyNumberFormat="1" applyFont="1" applyFill="1" applyBorder="1"/>
    <xf numFmtId="0" fontId="0" fillId="2" borderId="3" xfId="0" applyFill="1" applyBorder="1"/>
    <xf numFmtId="49" fontId="0" fillId="2" borderId="4" xfId="0" applyNumberFormat="1" applyFill="1" applyBorder="1"/>
    <xf numFmtId="0" fontId="0" fillId="2" borderId="5" xfId="0" applyFill="1" applyBorder="1"/>
    <xf numFmtId="0" fontId="2" fillId="0" borderId="6" xfId="0" applyFont="1" applyBorder="1"/>
    <xf numFmtId="49" fontId="0" fillId="2" borderId="7" xfId="0" applyNumberFormat="1" applyFill="1" applyBorder="1"/>
    <xf numFmtId="0" fontId="0" fillId="2" borderId="8" xfId="0" applyFill="1" applyBorder="1"/>
    <xf numFmtId="0" fontId="0" fillId="0" borderId="6" xfId="0" applyBorder="1"/>
    <xf numFmtId="0" fontId="0" fillId="2" borderId="9" xfId="0" applyFill="1" applyBorder="1"/>
    <xf numFmtId="49" fontId="2" fillId="2" borderId="10" xfId="0" applyNumberFormat="1" applyFont="1" applyFill="1" applyBorder="1"/>
    <xf numFmtId="49" fontId="2" fillId="2" borderId="11" xfId="0" applyNumberFormat="1" applyFont="1" applyFill="1" applyBorder="1"/>
    <xf numFmtId="49" fontId="2" fillId="2" borderId="12" xfId="0" applyNumberFormat="1" applyFont="1" applyFill="1" applyBorder="1"/>
    <xf numFmtId="0" fontId="0" fillId="0" borderId="13" xfId="0" applyBorder="1"/>
    <xf numFmtId="0" fontId="0" fillId="0" borderId="0" xfId="0" applyFont="1" applyFill="1" applyBorder="1"/>
    <xf numFmtId="49" fontId="0" fillId="3" borderId="1" xfId="0" applyNumberFormat="1" applyFill="1" applyBorder="1"/>
    <xf numFmtId="0" fontId="0" fillId="3" borderId="6" xfId="0" applyFill="1" applyBorder="1"/>
    <xf numFmtId="0" fontId="0" fillId="0" borderId="6" xfId="0" applyFill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MA!$D$7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MA!$C$8:$C$18</c:f>
              <c:numCache>
                <c:formatCode>General</c:formatCode>
                <c:ptCount val="11"/>
                <c:pt idx="0">
                  <c:v>0</c:v>
                </c:pt>
                <c:pt idx="1">
                  <c:v>0.0244604316546763</c:v>
                </c:pt>
                <c:pt idx="2">
                  <c:v>0.0402877697841726</c:v>
                </c:pt>
                <c:pt idx="3">
                  <c:v>0.0575539568345324</c:v>
                </c:pt>
                <c:pt idx="4">
                  <c:v>0.0719424460431655</c:v>
                </c:pt>
                <c:pt idx="5">
                  <c:v>0.097841726618705</c:v>
                </c:pt>
                <c:pt idx="6">
                  <c:v>0.119424460431655</c:v>
                </c:pt>
                <c:pt idx="7">
                  <c:v>0.149640287769784</c:v>
                </c:pt>
                <c:pt idx="8">
                  <c:v>0.166906474820144</c:v>
                </c:pt>
                <c:pt idx="9">
                  <c:v>0.18705035971223</c:v>
                </c:pt>
                <c:pt idx="10">
                  <c:v>0.197122302158273</c:v>
                </c:pt>
              </c:numCache>
            </c:numRef>
          </c:xVal>
          <c:yVal>
            <c:numRef>
              <c:f>MA!$D$8:$D$18</c:f>
              <c:numCache>
                <c:formatCode>General</c:formatCode>
                <c:ptCount val="11"/>
                <c:pt idx="0">
                  <c:v>0</c:v>
                </c:pt>
                <c:pt idx="1">
                  <c:v>54267.1834625323</c:v>
                </c:pt>
                <c:pt idx="2">
                  <c:v>104913.178294574</c:v>
                </c:pt>
                <c:pt idx="3">
                  <c:v>155559.173126615</c:v>
                </c:pt>
                <c:pt idx="4">
                  <c:v>206205.167958656</c:v>
                </c:pt>
                <c:pt idx="5">
                  <c:v>256851.162790698</c:v>
                </c:pt>
                <c:pt idx="6">
                  <c:v>307497.157622739</c:v>
                </c:pt>
                <c:pt idx="7">
                  <c:v>358143.15245478</c:v>
                </c:pt>
                <c:pt idx="8">
                  <c:v>408789.147286822</c:v>
                </c:pt>
                <c:pt idx="9">
                  <c:v>459435.142118863</c:v>
                </c:pt>
                <c:pt idx="10">
                  <c:v>484758.139534884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6039400"/>
        <c:axId val="536040184"/>
      </c:scatterChart>
      <c:valAx>
        <c:axId val="536039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6040184"/>
        <c:crosses val="autoZero"/>
        <c:crossBetween val="midCat"/>
      </c:valAx>
      <c:valAx>
        <c:axId val="536040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6039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MB!$D$7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MB!$C$8:$C$18</c:f>
              <c:numCache>
                <c:formatCode>General</c:formatCode>
                <c:ptCount val="11"/>
                <c:pt idx="0">
                  <c:v>0</c:v>
                </c:pt>
                <c:pt idx="1">
                  <c:v>0.0150684931506849</c:v>
                </c:pt>
                <c:pt idx="2">
                  <c:v>0.0356164383561643</c:v>
                </c:pt>
                <c:pt idx="3">
                  <c:v>0.0616438356164384</c:v>
                </c:pt>
                <c:pt idx="4">
                  <c:v>0.0726027397260274</c:v>
                </c:pt>
                <c:pt idx="5">
                  <c:v>0.0931506849315068</c:v>
                </c:pt>
                <c:pt idx="6">
                  <c:v>0.112328767123288</c:v>
                </c:pt>
                <c:pt idx="7">
                  <c:v>0.124657534246575</c:v>
                </c:pt>
                <c:pt idx="8">
                  <c:v>0.13972602739726</c:v>
                </c:pt>
                <c:pt idx="9">
                  <c:v>0.172602739726027</c:v>
                </c:pt>
                <c:pt idx="10">
                  <c:v>0.189041095890411</c:v>
                </c:pt>
              </c:numCache>
            </c:numRef>
          </c:xVal>
          <c:yVal>
            <c:numRef>
              <c:f>MB!$D$8:$D$18</c:f>
              <c:numCache>
                <c:formatCode>General</c:formatCode>
                <c:ptCount val="11"/>
                <c:pt idx="0">
                  <c:v>0</c:v>
                </c:pt>
                <c:pt idx="1">
                  <c:v>13429.3573393348</c:v>
                </c:pt>
                <c:pt idx="2">
                  <c:v>62441.6104026007</c:v>
                </c:pt>
                <c:pt idx="3">
                  <c:v>111453.863465866</c:v>
                </c:pt>
                <c:pt idx="4">
                  <c:v>160466.116529132</c:v>
                </c:pt>
                <c:pt idx="5">
                  <c:v>209478.369592398</c:v>
                </c:pt>
                <c:pt idx="6">
                  <c:v>258490.622655664</c:v>
                </c:pt>
                <c:pt idx="7">
                  <c:v>307502.87571893</c:v>
                </c:pt>
                <c:pt idx="8">
                  <c:v>356515.128782196</c:v>
                </c:pt>
                <c:pt idx="9">
                  <c:v>409031.757939485</c:v>
                </c:pt>
                <c:pt idx="10">
                  <c:v>458044.011002751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183784"/>
        <c:axId val="159184176"/>
      </c:scatterChart>
      <c:valAx>
        <c:axId val="159183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9184176"/>
        <c:crosses val="autoZero"/>
        <c:crossBetween val="midCat"/>
      </c:valAx>
      <c:valAx>
        <c:axId val="15918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9183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MC!$D$7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MC!$C$8:$C$18</c:f>
              <c:numCache>
                <c:formatCode>General</c:formatCode>
                <c:ptCount val="11"/>
                <c:pt idx="0">
                  <c:v>0</c:v>
                </c:pt>
                <c:pt idx="1">
                  <c:v>0.0255639097744361</c:v>
                </c:pt>
                <c:pt idx="2">
                  <c:v>0.0496240601503759</c:v>
                </c:pt>
                <c:pt idx="3">
                  <c:v>0.0676691729323308</c:v>
                </c:pt>
                <c:pt idx="4">
                  <c:v>0.0842105263157894</c:v>
                </c:pt>
                <c:pt idx="5">
                  <c:v>0.100751879699248</c:v>
                </c:pt>
                <c:pt idx="6">
                  <c:v>0.112781954887218</c:v>
                </c:pt>
                <c:pt idx="7">
                  <c:v>0.130827067669173</c:v>
                </c:pt>
                <c:pt idx="8">
                  <c:v>0.147368421052632</c:v>
                </c:pt>
                <c:pt idx="9">
                  <c:v>0.165413533834586</c:v>
                </c:pt>
                <c:pt idx="10">
                  <c:v>0.186466165413534</c:v>
                </c:pt>
              </c:numCache>
            </c:numRef>
          </c:xVal>
          <c:yVal>
            <c:numRef>
              <c:f>MC!$D$8:$D$18</c:f>
              <c:numCache>
                <c:formatCode>General</c:formatCode>
                <c:ptCount val="11"/>
                <c:pt idx="0">
                  <c:v>0</c:v>
                </c:pt>
                <c:pt idx="1">
                  <c:v>54267.1834625323</c:v>
                </c:pt>
                <c:pt idx="2">
                  <c:v>104913.178294574</c:v>
                </c:pt>
                <c:pt idx="3">
                  <c:v>155559.173126615</c:v>
                </c:pt>
                <c:pt idx="4">
                  <c:v>206205.167958656</c:v>
                </c:pt>
                <c:pt idx="5">
                  <c:v>256851.162790698</c:v>
                </c:pt>
                <c:pt idx="6">
                  <c:v>307497.157622739</c:v>
                </c:pt>
                <c:pt idx="7">
                  <c:v>358143.15245478</c:v>
                </c:pt>
                <c:pt idx="8">
                  <c:v>408789.147286822</c:v>
                </c:pt>
                <c:pt idx="9">
                  <c:v>459435.142118863</c:v>
                </c:pt>
                <c:pt idx="10">
                  <c:v>510081.136950904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313256"/>
        <c:axId val="540314040"/>
      </c:scatterChart>
      <c:valAx>
        <c:axId val="540313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0314040"/>
        <c:crosses val="autoZero"/>
        <c:crossBetween val="midCat"/>
      </c:valAx>
      <c:valAx>
        <c:axId val="540314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0313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MD!$D$7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MD!$C$8:$C$18</c:f>
              <c:numCache>
                <c:formatCode>General</c:formatCode>
                <c:ptCount val="11"/>
                <c:pt idx="0">
                  <c:v>0</c:v>
                </c:pt>
                <c:pt idx="1">
                  <c:v>0.0112201963534361</c:v>
                </c:pt>
                <c:pt idx="2">
                  <c:v>0.0308555399719495</c:v>
                </c:pt>
                <c:pt idx="3">
                  <c:v>0.050490883590463</c:v>
                </c:pt>
                <c:pt idx="4">
                  <c:v>0.0701262272089762</c:v>
                </c:pt>
                <c:pt idx="5">
                  <c:v>0.091164095371669</c:v>
                </c:pt>
                <c:pt idx="6">
                  <c:v>0.110799438990182</c:v>
                </c:pt>
                <c:pt idx="7">
                  <c:v>0.140252454417952</c:v>
                </c:pt>
                <c:pt idx="8">
                  <c:v>0.171107994389902</c:v>
                </c:pt>
                <c:pt idx="9">
                  <c:v>0.182328190743338</c:v>
                </c:pt>
                <c:pt idx="10">
                  <c:v>0.210378681626928</c:v>
                </c:pt>
              </c:numCache>
            </c:numRef>
          </c:xVal>
          <c:yVal>
            <c:numRef>
              <c:f>MD!$D$8:$D$18</c:f>
              <c:numCache>
                <c:formatCode>General</c:formatCode>
                <c:ptCount val="11"/>
                <c:pt idx="0">
                  <c:v>0</c:v>
                </c:pt>
                <c:pt idx="1">
                  <c:v>28944.1860465116</c:v>
                </c:pt>
                <c:pt idx="2">
                  <c:v>79590.180878553</c:v>
                </c:pt>
                <c:pt idx="3">
                  <c:v>130236.175710594</c:v>
                </c:pt>
                <c:pt idx="4">
                  <c:v>180882.170542636</c:v>
                </c:pt>
                <c:pt idx="5">
                  <c:v>231528.165374677</c:v>
                </c:pt>
                <c:pt idx="6">
                  <c:v>282174.160206718</c:v>
                </c:pt>
                <c:pt idx="7">
                  <c:v>332820.15503876</c:v>
                </c:pt>
                <c:pt idx="8">
                  <c:v>383466.149870801</c:v>
                </c:pt>
                <c:pt idx="9">
                  <c:v>434112.144702842</c:v>
                </c:pt>
                <c:pt idx="10">
                  <c:v>484758.139534884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6042536"/>
        <c:axId val="536040968"/>
      </c:scatterChart>
      <c:valAx>
        <c:axId val="536042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6040968"/>
        <c:crosses val="autoZero"/>
        <c:crossBetween val="midCat"/>
      </c:valAx>
      <c:valAx>
        <c:axId val="536040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6042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PA!$D$7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PA!$C$8:$C$18</c:f>
              <c:numCache>
                <c:formatCode>General</c:formatCode>
                <c:ptCount val="11"/>
                <c:pt idx="0">
                  <c:v>0</c:v>
                </c:pt>
                <c:pt idx="1">
                  <c:v>0.00415512465373957</c:v>
                </c:pt>
                <c:pt idx="2">
                  <c:v>0.0110803324099723</c:v>
                </c:pt>
                <c:pt idx="3">
                  <c:v>0.0152354570637118</c:v>
                </c:pt>
                <c:pt idx="4">
                  <c:v>0.0193905817174514</c:v>
                </c:pt>
                <c:pt idx="5">
                  <c:v>0.0263157894736841</c:v>
                </c:pt>
                <c:pt idx="6">
                  <c:v>0.0346260387811634</c:v>
                </c:pt>
                <c:pt idx="7">
                  <c:v>0.0415512465373961</c:v>
                </c:pt>
                <c:pt idx="8">
                  <c:v>0.0498614958448753</c:v>
                </c:pt>
                <c:pt idx="9">
                  <c:v>0.0554016620498615</c:v>
                </c:pt>
                <c:pt idx="10">
                  <c:v>0.0623268698060942</c:v>
                </c:pt>
              </c:numCache>
            </c:numRef>
          </c:xVal>
          <c:yVal>
            <c:numRef>
              <c:f>PA!$D$8:$D$18</c:f>
              <c:numCache>
                <c:formatCode>General</c:formatCode>
                <c:ptCount val="11"/>
                <c:pt idx="0">
                  <c:v>0</c:v>
                </c:pt>
                <c:pt idx="1">
                  <c:v>3807.01754385965</c:v>
                </c:pt>
                <c:pt idx="2">
                  <c:v>28368.4210526316</c:v>
                </c:pt>
                <c:pt idx="3">
                  <c:v>40649.1228070175</c:v>
                </c:pt>
                <c:pt idx="4">
                  <c:v>52929.8245614035</c:v>
                </c:pt>
                <c:pt idx="5">
                  <c:v>65210.5263157895</c:v>
                </c:pt>
                <c:pt idx="6">
                  <c:v>77491.2280701754</c:v>
                </c:pt>
                <c:pt idx="7">
                  <c:v>89771.9298245614</c:v>
                </c:pt>
                <c:pt idx="8">
                  <c:v>102052.631578947</c:v>
                </c:pt>
                <c:pt idx="9">
                  <c:v>114333.333333333</c:v>
                </c:pt>
                <c:pt idx="10">
                  <c:v>126614.035087719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635520"/>
        <c:axId val="538635912"/>
      </c:scatterChart>
      <c:valAx>
        <c:axId val="538635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8635912"/>
        <c:crosses val="autoZero"/>
        <c:crossBetween val="midCat"/>
      </c:valAx>
      <c:valAx>
        <c:axId val="538635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8635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PB!$D$7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PB!$C$8:$C$18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0.0115606936416185</c:v>
                </c:pt>
                <c:pt idx="3">
                  <c:v>0.0158959537572253</c:v>
                </c:pt>
                <c:pt idx="4">
                  <c:v>0.0245664739884393</c:v>
                </c:pt>
                <c:pt idx="5">
                  <c:v>0.0289017341040462</c:v>
                </c:pt>
                <c:pt idx="6">
                  <c:v>0.03757225433526</c:v>
                </c:pt>
                <c:pt idx="7">
                  <c:v>0.0433526011560694</c:v>
                </c:pt>
                <c:pt idx="8">
                  <c:v>0.0505780346820809</c:v>
                </c:pt>
                <c:pt idx="9">
                  <c:v>0.05635838150289</c:v>
                </c:pt>
                <c:pt idx="10">
                  <c:v>0.0621387283236994</c:v>
                </c:pt>
              </c:numCache>
            </c:numRef>
          </c:xVal>
          <c:yVal>
            <c:numRef>
              <c:f>PB!$D$8:$D$18</c:f>
              <c:numCache>
                <c:formatCode>General</c:formatCode>
                <c:ptCount val="11"/>
                <c:pt idx="0">
                  <c:v>0</c:v>
                </c:pt>
                <c:pt idx="1">
                  <c:v>3968.12957157785</c:v>
                </c:pt>
                <c:pt idx="2">
                  <c:v>29568.9655172414</c:v>
                </c:pt>
                <c:pt idx="3">
                  <c:v>42369.3834900732</c:v>
                </c:pt>
                <c:pt idx="4">
                  <c:v>55169.8014629049</c:v>
                </c:pt>
                <c:pt idx="5">
                  <c:v>67970.2194357367</c:v>
                </c:pt>
                <c:pt idx="6">
                  <c:v>80770.6374085684</c:v>
                </c:pt>
                <c:pt idx="7">
                  <c:v>93571.0553814002</c:v>
                </c:pt>
                <c:pt idx="8">
                  <c:v>106371.473354232</c:v>
                </c:pt>
                <c:pt idx="9">
                  <c:v>119171.891327064</c:v>
                </c:pt>
                <c:pt idx="10">
                  <c:v>131972.309299896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634344"/>
        <c:axId val="538634736"/>
      </c:scatterChart>
      <c:valAx>
        <c:axId val="538634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8634736"/>
        <c:crosses val="autoZero"/>
        <c:crossBetween val="midCat"/>
      </c:valAx>
      <c:valAx>
        <c:axId val="53863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8634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PC!$D$7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PC!$C$8:$C$18</c:f>
              <c:numCache>
                <c:formatCode>General</c:formatCode>
                <c:ptCount val="11"/>
                <c:pt idx="0">
                  <c:v>0</c:v>
                </c:pt>
                <c:pt idx="1">
                  <c:v>0.00279720279720284</c:v>
                </c:pt>
                <c:pt idx="2">
                  <c:v>0.013986013986014</c:v>
                </c:pt>
                <c:pt idx="3">
                  <c:v>0.0181818181818181</c:v>
                </c:pt>
                <c:pt idx="4">
                  <c:v>0.0251748251748251</c:v>
                </c:pt>
                <c:pt idx="5">
                  <c:v>0.0335664335664336</c:v>
                </c:pt>
                <c:pt idx="6">
                  <c:v>0.0391608391608391</c:v>
                </c:pt>
                <c:pt idx="7">
                  <c:v>0.0461538461538461</c:v>
                </c:pt>
                <c:pt idx="8">
                  <c:v>0.0517482517482518</c:v>
                </c:pt>
                <c:pt idx="9">
                  <c:v>0.0601398601398601</c:v>
                </c:pt>
                <c:pt idx="10">
                  <c:v>0.0657342657342658</c:v>
                </c:pt>
              </c:numCache>
            </c:numRef>
          </c:xVal>
          <c:yVal>
            <c:numRef>
              <c:f>PC!$D$8:$D$18</c:f>
              <c:numCache>
                <c:formatCode>General</c:formatCode>
                <c:ptCount val="11"/>
                <c:pt idx="0">
                  <c:v>0</c:v>
                </c:pt>
                <c:pt idx="1">
                  <c:v>4029.17771883289</c:v>
                </c:pt>
                <c:pt idx="2">
                  <c:v>30023.8726790451</c:v>
                </c:pt>
                <c:pt idx="3">
                  <c:v>43021.2201591512</c:v>
                </c:pt>
                <c:pt idx="4">
                  <c:v>56018.5676392573</c:v>
                </c:pt>
                <c:pt idx="5">
                  <c:v>69015.9151193634</c:v>
                </c:pt>
                <c:pt idx="6">
                  <c:v>82013.2625994695</c:v>
                </c:pt>
                <c:pt idx="7">
                  <c:v>95010.6100795756</c:v>
                </c:pt>
                <c:pt idx="8">
                  <c:v>108007.957559682</c:v>
                </c:pt>
                <c:pt idx="9">
                  <c:v>121005.305039788</c:v>
                </c:pt>
                <c:pt idx="10">
                  <c:v>134002.652519894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636696"/>
        <c:axId val="538633168"/>
      </c:scatterChart>
      <c:valAx>
        <c:axId val="538636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8633168"/>
        <c:crosses val="autoZero"/>
        <c:crossBetween val="midCat"/>
      </c:valAx>
      <c:valAx>
        <c:axId val="53863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8636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PD!$D$7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PD!$C$8:$C$18</c:f>
              <c:numCache>
                <c:formatCode>General</c:formatCode>
                <c:ptCount val="11"/>
                <c:pt idx="0">
                  <c:v>0</c:v>
                </c:pt>
                <c:pt idx="1">
                  <c:v>0.00279720279720284</c:v>
                </c:pt>
                <c:pt idx="2">
                  <c:v>0.00839160839160831</c:v>
                </c:pt>
                <c:pt idx="3">
                  <c:v>0.0181818181818181</c:v>
                </c:pt>
                <c:pt idx="4">
                  <c:v>0.0237762237762238</c:v>
                </c:pt>
                <c:pt idx="5">
                  <c:v>0.0321678321678321</c:v>
                </c:pt>
                <c:pt idx="6">
                  <c:v>0.0391608391608391</c:v>
                </c:pt>
                <c:pt idx="7">
                  <c:v>0.0447552447552448</c:v>
                </c:pt>
                <c:pt idx="8">
                  <c:v>0.0517482517482518</c:v>
                </c:pt>
                <c:pt idx="9">
                  <c:v>0.0615384615384616</c:v>
                </c:pt>
                <c:pt idx="10">
                  <c:v>0.0671328671328671</c:v>
                </c:pt>
              </c:numCache>
            </c:numRef>
          </c:xVal>
          <c:yVal>
            <c:numRef>
              <c:f>PD!$D$8:$D$18</c:f>
              <c:numCache>
                <c:formatCode>General</c:formatCode>
                <c:ptCount val="11"/>
                <c:pt idx="0">
                  <c:v>0</c:v>
                </c:pt>
                <c:pt idx="1">
                  <c:v>3750.61728395062</c:v>
                </c:pt>
                <c:pt idx="2">
                  <c:v>15849.3827160494</c:v>
                </c:pt>
                <c:pt idx="3">
                  <c:v>40046.9135802469</c:v>
                </c:pt>
                <c:pt idx="4">
                  <c:v>52145.6790123457</c:v>
                </c:pt>
                <c:pt idx="5">
                  <c:v>64244.4444444444</c:v>
                </c:pt>
                <c:pt idx="6">
                  <c:v>76343.2098765432</c:v>
                </c:pt>
                <c:pt idx="7">
                  <c:v>88441.975308642</c:v>
                </c:pt>
                <c:pt idx="8">
                  <c:v>100540.740740741</c:v>
                </c:pt>
                <c:pt idx="9">
                  <c:v>112639.50617284</c:v>
                </c:pt>
                <c:pt idx="10">
                  <c:v>124738.271604938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6721840"/>
        <c:axId val="746722232"/>
      </c:scatterChart>
      <c:valAx>
        <c:axId val="74672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6722232"/>
        <c:crosses val="autoZero"/>
        <c:crossBetween val="midCat"/>
      </c:valAx>
      <c:valAx>
        <c:axId val="746722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6721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495300</xdr:colOff>
      <xdr:row>3</xdr:row>
      <xdr:rowOff>3810</xdr:rowOff>
    </xdr:from>
    <xdr:to>
      <xdr:col>12</xdr:col>
      <xdr:colOff>190500</xdr:colOff>
      <xdr:row>18</xdr:row>
      <xdr:rowOff>3810</xdr:rowOff>
    </xdr:to>
    <xdr:graphicFrame>
      <xdr:nvGraphicFramePr>
        <xdr:cNvPr id="2" name="Chart 1"/>
        <xdr:cNvGraphicFramePr/>
      </xdr:nvGraphicFramePr>
      <xdr:xfrm>
        <a:off x="6797040" y="544830"/>
        <a:ext cx="4632960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434340</xdr:colOff>
      <xdr:row>2</xdr:row>
      <xdr:rowOff>156210</xdr:rowOff>
    </xdr:from>
    <xdr:to>
      <xdr:col>12</xdr:col>
      <xdr:colOff>129540</xdr:colOff>
      <xdr:row>17</xdr:row>
      <xdr:rowOff>156210</xdr:rowOff>
    </xdr:to>
    <xdr:graphicFrame>
      <xdr:nvGraphicFramePr>
        <xdr:cNvPr id="2" name="Chart 1"/>
        <xdr:cNvGraphicFramePr/>
      </xdr:nvGraphicFramePr>
      <xdr:xfrm>
        <a:off x="6736080" y="521970"/>
        <a:ext cx="4632960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396240</xdr:colOff>
      <xdr:row>3</xdr:row>
      <xdr:rowOff>156210</xdr:rowOff>
    </xdr:from>
    <xdr:to>
      <xdr:col>12</xdr:col>
      <xdr:colOff>91440</xdr:colOff>
      <xdr:row>18</xdr:row>
      <xdr:rowOff>156210</xdr:rowOff>
    </xdr:to>
    <xdr:graphicFrame>
      <xdr:nvGraphicFramePr>
        <xdr:cNvPr id="2" name="Chart 1"/>
        <xdr:cNvGraphicFramePr/>
      </xdr:nvGraphicFramePr>
      <xdr:xfrm>
        <a:off x="6697980" y="697230"/>
        <a:ext cx="4632960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297180</xdr:colOff>
      <xdr:row>2</xdr:row>
      <xdr:rowOff>95250</xdr:rowOff>
    </xdr:from>
    <xdr:to>
      <xdr:col>11</xdr:col>
      <xdr:colOff>601980</xdr:colOff>
      <xdr:row>17</xdr:row>
      <xdr:rowOff>95250</xdr:rowOff>
    </xdr:to>
    <xdr:graphicFrame>
      <xdr:nvGraphicFramePr>
        <xdr:cNvPr id="2" name="Chart 1"/>
        <xdr:cNvGraphicFramePr/>
      </xdr:nvGraphicFramePr>
      <xdr:xfrm>
        <a:off x="6598920" y="461010"/>
        <a:ext cx="4625340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449580</xdr:colOff>
      <xdr:row>2</xdr:row>
      <xdr:rowOff>148590</xdr:rowOff>
    </xdr:from>
    <xdr:to>
      <xdr:col>12</xdr:col>
      <xdr:colOff>144780</xdr:colOff>
      <xdr:row>17</xdr:row>
      <xdr:rowOff>148590</xdr:rowOff>
    </xdr:to>
    <xdr:graphicFrame>
      <xdr:nvGraphicFramePr>
        <xdr:cNvPr id="2" name="Chart 1"/>
        <xdr:cNvGraphicFramePr/>
      </xdr:nvGraphicFramePr>
      <xdr:xfrm>
        <a:off x="6751320" y="514350"/>
        <a:ext cx="4632960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205740</xdr:colOff>
      <xdr:row>2</xdr:row>
      <xdr:rowOff>64770</xdr:rowOff>
    </xdr:from>
    <xdr:to>
      <xdr:col>11</xdr:col>
      <xdr:colOff>510540</xdr:colOff>
      <xdr:row>17</xdr:row>
      <xdr:rowOff>64770</xdr:rowOff>
    </xdr:to>
    <xdr:graphicFrame>
      <xdr:nvGraphicFramePr>
        <xdr:cNvPr id="2" name="Chart 1"/>
        <xdr:cNvGraphicFramePr/>
      </xdr:nvGraphicFramePr>
      <xdr:xfrm>
        <a:off x="6507480" y="430530"/>
        <a:ext cx="4625340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304800</xdr:colOff>
      <xdr:row>2</xdr:row>
      <xdr:rowOff>95250</xdr:rowOff>
    </xdr:from>
    <xdr:to>
      <xdr:col>12</xdr:col>
      <xdr:colOff>0</xdr:colOff>
      <xdr:row>17</xdr:row>
      <xdr:rowOff>95250</xdr:rowOff>
    </xdr:to>
    <xdr:graphicFrame>
      <xdr:nvGraphicFramePr>
        <xdr:cNvPr id="2" name="Chart 1"/>
        <xdr:cNvGraphicFramePr/>
      </xdr:nvGraphicFramePr>
      <xdr:xfrm>
        <a:off x="6606540" y="461010"/>
        <a:ext cx="4632960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396240</xdr:colOff>
      <xdr:row>2</xdr:row>
      <xdr:rowOff>148590</xdr:rowOff>
    </xdr:from>
    <xdr:to>
      <xdr:col>12</xdr:col>
      <xdr:colOff>91440</xdr:colOff>
      <xdr:row>17</xdr:row>
      <xdr:rowOff>148590</xdr:rowOff>
    </xdr:to>
    <xdr:graphicFrame>
      <xdr:nvGraphicFramePr>
        <xdr:cNvPr id="2" name="Chart 1"/>
        <xdr:cNvGraphicFramePr/>
      </xdr:nvGraphicFramePr>
      <xdr:xfrm>
        <a:off x="6697980" y="514350"/>
        <a:ext cx="4632960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workbookViewId="0">
      <selection activeCell="D11" sqref="D11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1</v>
      </c>
    </row>
    <row r="2" ht="14.4" spans="1:2">
      <c r="A2" s="3" t="s">
        <v>2</v>
      </c>
      <c r="B2" s="4"/>
    </row>
    <row r="3" spans="1:3">
      <c r="A3" s="5" t="s">
        <v>3</v>
      </c>
      <c r="B3" s="6">
        <v>12.9</v>
      </c>
      <c r="C3" s="7" t="s">
        <v>4</v>
      </c>
    </row>
    <row r="4" spans="1:3">
      <c r="A4" s="8" t="s">
        <v>5</v>
      </c>
      <c r="B4" s="9">
        <v>3</v>
      </c>
      <c r="C4" s="10">
        <f>(B3/1000)*(B4/1000)</f>
        <v>3.87e-5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15">
        <v>0</v>
      </c>
      <c r="B8" s="15">
        <v>69.5</v>
      </c>
      <c r="C8" s="10">
        <v>0</v>
      </c>
      <c r="D8" s="10">
        <v>0</v>
      </c>
    </row>
    <row r="9" spans="1:4">
      <c r="A9" s="10">
        <v>214.3</v>
      </c>
      <c r="B9" s="10">
        <v>71.2</v>
      </c>
      <c r="C9" s="10">
        <f>(B9-B8)/B8</f>
        <v>0.0244604316546763</v>
      </c>
      <c r="D9" s="10">
        <f>(A9*9.8/1000)/(C4)</f>
        <v>54267.1834625323</v>
      </c>
    </row>
    <row r="10" spans="1:4">
      <c r="A10" s="10">
        <v>414.3</v>
      </c>
      <c r="B10" s="10">
        <v>72.3</v>
      </c>
      <c r="C10" s="10">
        <f>(B10-B8)/B8</f>
        <v>0.0402877697841726</v>
      </c>
      <c r="D10" s="10">
        <f>(A10*9.8/1000)/(C4)</f>
        <v>104913.178294574</v>
      </c>
    </row>
    <row r="11" spans="1:4">
      <c r="A11" s="10">
        <v>614.3</v>
      </c>
      <c r="B11" s="10">
        <v>73.5</v>
      </c>
      <c r="C11" s="10">
        <f>(B11-B8)/B8</f>
        <v>0.0575539568345324</v>
      </c>
      <c r="D11" s="10">
        <f>(A11*9.8/1000)/(C4)</f>
        <v>155559.173126615</v>
      </c>
    </row>
    <row r="12" spans="1:4">
      <c r="A12" s="10">
        <v>814.3</v>
      </c>
      <c r="B12" s="10">
        <v>74.5</v>
      </c>
      <c r="C12" s="10">
        <f>(B12-B8)/B8</f>
        <v>0.0719424460431655</v>
      </c>
      <c r="D12" s="10">
        <f>(A12*9.8/1000)/(C4)</f>
        <v>206205.167958656</v>
      </c>
    </row>
    <row r="13" spans="1:4">
      <c r="A13" s="10">
        <v>1014.3</v>
      </c>
      <c r="B13" s="10">
        <v>76.3</v>
      </c>
      <c r="C13" s="10">
        <f>(B13-B8)/B8</f>
        <v>0.097841726618705</v>
      </c>
      <c r="D13" s="10">
        <f>(A13*9.8/1000)/(C4)</f>
        <v>256851.162790698</v>
      </c>
    </row>
    <row r="14" spans="1:4">
      <c r="A14" s="10">
        <v>1214.3</v>
      </c>
      <c r="B14" s="10">
        <v>77.8</v>
      </c>
      <c r="C14" s="10">
        <f>(B14-B8)/B8</f>
        <v>0.119424460431655</v>
      </c>
      <c r="D14" s="10">
        <f>(A14*9.8/1000)/(C4)</f>
        <v>307497.157622739</v>
      </c>
    </row>
    <row r="15" spans="1:4">
      <c r="A15" s="10">
        <v>1414.3</v>
      </c>
      <c r="B15" s="10">
        <v>79.9</v>
      </c>
      <c r="C15" s="10">
        <f>(B15-B8)/B8</f>
        <v>0.149640287769784</v>
      </c>
      <c r="D15" s="10">
        <f>(A15*9.8/1000)/(C4)</f>
        <v>358143.15245478</v>
      </c>
    </row>
    <row r="16" spans="1:4">
      <c r="A16" s="10">
        <v>1614.3</v>
      </c>
      <c r="B16" s="10">
        <v>81.1</v>
      </c>
      <c r="C16" s="10">
        <f>(B16-B8)/B8</f>
        <v>0.166906474820144</v>
      </c>
      <c r="D16" s="10">
        <f>(A16*9.8/1000)/(C4)</f>
        <v>408789.147286822</v>
      </c>
    </row>
    <row r="17" spans="1:4">
      <c r="A17" s="10">
        <v>1814.3</v>
      </c>
      <c r="B17" s="10">
        <v>82.5</v>
      </c>
      <c r="C17" s="10">
        <f>(B17-B8)/B8</f>
        <v>0.18705035971223</v>
      </c>
      <c r="D17" s="10">
        <f>(A17*9.8/1000)/(C4)</f>
        <v>459435.142118863</v>
      </c>
    </row>
    <row r="18" spans="1:4">
      <c r="A18" s="10">
        <v>1914.3</v>
      </c>
      <c r="B18" s="10">
        <v>83.2</v>
      </c>
      <c r="C18" s="10">
        <f>(B18-B8)/B8</f>
        <v>0.197122302158273</v>
      </c>
      <c r="D18" s="10">
        <f>(A18*9.8/1000)/(C4)</f>
        <v>484758.139534884</v>
      </c>
    </row>
    <row r="20" spans="1:3">
      <c r="A20" s="7" t="s">
        <v>12</v>
      </c>
      <c r="B20" s="10" t="s">
        <v>13</v>
      </c>
      <c r="C20" s="7" t="s">
        <v>14</v>
      </c>
    </row>
    <row r="21" spans="1:3">
      <c r="A21" s="7" t="s">
        <v>15</v>
      </c>
      <c r="B21" s="10" t="s">
        <v>16</v>
      </c>
      <c r="C21" s="10">
        <f>SLOPE(D8:D18,C8:C18)</f>
        <v>2420103.88244979</v>
      </c>
    </row>
    <row r="22" spans="1:2">
      <c r="A22" s="7" t="s">
        <v>17</v>
      </c>
      <c r="B22" s="10" t="s">
        <v>18</v>
      </c>
    </row>
    <row r="23" spans="2:3">
      <c r="B23" s="16">
        <f>STEYX(D8:D18,C8:C18)</f>
        <v>11860.8915132504</v>
      </c>
      <c r="C23">
        <v>2420000</v>
      </c>
    </row>
    <row r="24" spans="2:3">
      <c r="B24">
        <f>1.96*B23</f>
        <v>23247.3473659708</v>
      </c>
      <c r="C24">
        <v>20000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topLeftCell="A4" workbookViewId="0">
      <selection activeCell="C9" sqref="C9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19</v>
      </c>
    </row>
    <row r="2" ht="14.4" spans="1:2">
      <c r="A2" s="3" t="s">
        <v>2</v>
      </c>
      <c r="B2" s="4"/>
    </row>
    <row r="3" spans="1:3">
      <c r="A3" s="5" t="s">
        <v>3</v>
      </c>
      <c r="B3" s="6">
        <v>12.9</v>
      </c>
      <c r="C3" s="7" t="s">
        <v>4</v>
      </c>
    </row>
    <row r="4" spans="1:3">
      <c r="A4" s="8" t="s">
        <v>5</v>
      </c>
      <c r="B4" s="9">
        <v>3.1</v>
      </c>
      <c r="C4" s="10">
        <f>(B3/1000)*(B4/1000)</f>
        <v>3.999e-5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15">
        <v>0</v>
      </c>
      <c r="B8" s="15">
        <v>73</v>
      </c>
      <c r="C8" s="10">
        <v>0</v>
      </c>
      <c r="D8" s="10">
        <v>0</v>
      </c>
    </row>
    <row r="9" spans="1:4">
      <c r="A9" s="10">
        <v>54.8</v>
      </c>
      <c r="B9" s="10">
        <v>74.1</v>
      </c>
      <c r="C9" s="10">
        <f>(B9-B8)/B8</f>
        <v>0.0150684931506849</v>
      </c>
      <c r="D9" s="10">
        <f>(A9*9.8/1000)/(C4)</f>
        <v>13429.3573393348</v>
      </c>
    </row>
    <row r="10" spans="1:4">
      <c r="A10" s="10">
        <v>254.8</v>
      </c>
      <c r="B10" s="10">
        <v>75.6</v>
      </c>
      <c r="C10" s="10">
        <f>(B10-B8)/B8</f>
        <v>0.0356164383561643</v>
      </c>
      <c r="D10" s="10">
        <f>(A10*9.8/1000)/(C4)</f>
        <v>62441.6104026007</v>
      </c>
    </row>
    <row r="11" spans="1:4">
      <c r="A11" s="10">
        <v>454.8</v>
      </c>
      <c r="B11" s="10">
        <v>77.5</v>
      </c>
      <c r="C11" s="10">
        <f>(B11-B8)/B8</f>
        <v>0.0616438356164384</v>
      </c>
      <c r="D11" s="10">
        <f>(A11*9.8/1000)/(C4)</f>
        <v>111453.863465866</v>
      </c>
    </row>
    <row r="12" spans="1:4">
      <c r="A12" s="10">
        <v>654.8</v>
      </c>
      <c r="B12" s="10">
        <v>78.3</v>
      </c>
      <c r="C12" s="10">
        <f>(B12-B8)/B8</f>
        <v>0.0726027397260274</v>
      </c>
      <c r="D12" s="10">
        <f>(A12*9.8/1000)/(C4)</f>
        <v>160466.116529132</v>
      </c>
    </row>
    <row r="13" spans="1:4">
      <c r="A13" s="10">
        <v>854.8</v>
      </c>
      <c r="B13" s="10">
        <v>79.8</v>
      </c>
      <c r="C13" s="10">
        <f>(B13-B8)/B8</f>
        <v>0.0931506849315068</v>
      </c>
      <c r="D13" s="10">
        <f>(A13*9.8/1000)/(C4)</f>
        <v>209478.369592398</v>
      </c>
    </row>
    <row r="14" spans="1:4">
      <c r="A14" s="10">
        <v>1054.8</v>
      </c>
      <c r="B14" s="10">
        <v>81.2</v>
      </c>
      <c r="C14" s="10">
        <f>(B14-B8)/B8</f>
        <v>0.112328767123288</v>
      </c>
      <c r="D14" s="10">
        <f>(A14*9.8/1000)/(C4)</f>
        <v>258490.622655664</v>
      </c>
    </row>
    <row r="15" spans="1:4">
      <c r="A15" s="10">
        <v>1254.8</v>
      </c>
      <c r="B15" s="10">
        <v>82.1</v>
      </c>
      <c r="C15" s="10">
        <f>(B15-B8)/B8</f>
        <v>0.124657534246575</v>
      </c>
      <c r="D15" s="10">
        <f>(A15*9.8/1000)/(C4)</f>
        <v>307502.87571893</v>
      </c>
    </row>
    <row r="16" spans="1:4">
      <c r="A16" s="10">
        <v>1454.8</v>
      </c>
      <c r="B16" s="10">
        <v>83.2</v>
      </c>
      <c r="C16" s="10">
        <f>(B16-B8)/B8</f>
        <v>0.13972602739726</v>
      </c>
      <c r="D16" s="10">
        <f>(A16*9.8/1000)/(C4)</f>
        <v>356515.128782196</v>
      </c>
    </row>
    <row r="17" spans="1:4">
      <c r="A17" s="10">
        <v>1669.1</v>
      </c>
      <c r="B17" s="10">
        <v>85.6</v>
      </c>
      <c r="C17" s="10">
        <f>(B17-B8)/B8</f>
        <v>0.172602739726027</v>
      </c>
      <c r="D17" s="10">
        <f>(A17*9.8/1000)/(C4)</f>
        <v>409031.757939485</v>
      </c>
    </row>
    <row r="18" spans="1:4">
      <c r="A18" s="10">
        <v>1869.1</v>
      </c>
      <c r="B18" s="10">
        <v>86.8</v>
      </c>
      <c r="C18" s="10">
        <f>(B18-B8)/B8</f>
        <v>0.189041095890411</v>
      </c>
      <c r="D18" s="10">
        <f>(A18*9.8/1000)/(C4)</f>
        <v>458044.011002751</v>
      </c>
    </row>
    <row r="20" spans="1:3">
      <c r="A20" s="7" t="s">
        <v>12</v>
      </c>
      <c r="B20" s="10" t="s">
        <v>13</v>
      </c>
      <c r="C20" s="7" t="s">
        <v>14</v>
      </c>
    </row>
    <row r="21" spans="1:3">
      <c r="A21" s="7" t="s">
        <v>15</v>
      </c>
      <c r="B21" s="10" t="s">
        <v>16</v>
      </c>
      <c r="C21" s="10">
        <f>SLOPE(D8:D18,C8:C18)</f>
        <v>2542804.50153272</v>
      </c>
    </row>
    <row r="22" spans="1:2">
      <c r="A22" s="7" t="s">
        <v>17</v>
      </c>
      <c r="B22" s="10" t="s">
        <v>18</v>
      </c>
    </row>
    <row r="23" spans="2:3">
      <c r="B23" s="16">
        <f>STEYX(D8:D18,C8:C18)</f>
        <v>14487.8123593903</v>
      </c>
      <c r="C23">
        <v>2540000</v>
      </c>
    </row>
    <row r="24" spans="2:3">
      <c r="B24">
        <f>1.96*B23</f>
        <v>28396.1122244051</v>
      </c>
      <c r="C24">
        <v>30000</v>
      </c>
    </row>
  </sheetData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workbookViewId="0">
      <selection activeCell="D13" sqref="D13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20</v>
      </c>
    </row>
    <row r="2" ht="14.4" spans="1:2">
      <c r="A2" s="3" t="s">
        <v>2</v>
      </c>
      <c r="B2" s="4"/>
    </row>
    <row r="3" spans="1:3">
      <c r="A3" s="5" t="s">
        <v>3</v>
      </c>
      <c r="B3" s="6">
        <v>12.9</v>
      </c>
      <c r="C3" s="7" t="s">
        <v>4</v>
      </c>
    </row>
    <row r="4" spans="1:3">
      <c r="A4" s="8" t="s">
        <v>5</v>
      </c>
      <c r="B4" s="9">
        <v>3</v>
      </c>
      <c r="C4" s="10">
        <f>(B3/1000)*(B4/1000)</f>
        <v>3.87e-5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15">
        <v>0</v>
      </c>
      <c r="B8" s="15">
        <v>66.5</v>
      </c>
      <c r="C8" s="10">
        <v>0</v>
      </c>
      <c r="D8" s="10">
        <v>0</v>
      </c>
    </row>
    <row r="9" spans="1:4">
      <c r="A9" s="10">
        <v>214.3</v>
      </c>
      <c r="B9" s="10">
        <v>68.2</v>
      </c>
      <c r="C9" s="10">
        <f>(B9-B8)/B8</f>
        <v>0.0255639097744361</v>
      </c>
      <c r="D9" s="10">
        <f>(A9*9.8/1000)/(C4)</f>
        <v>54267.1834625323</v>
      </c>
    </row>
    <row r="10" spans="1:4">
      <c r="A10" s="10">
        <v>414.3</v>
      </c>
      <c r="B10" s="10">
        <v>69.8</v>
      </c>
      <c r="C10" s="10">
        <f>(B10-B8)/B8</f>
        <v>0.0496240601503759</v>
      </c>
      <c r="D10" s="10">
        <f>(A10*9.8/1000)/(C4)</f>
        <v>104913.178294574</v>
      </c>
    </row>
    <row r="11" spans="1:4">
      <c r="A11" s="10">
        <v>614.3</v>
      </c>
      <c r="B11" s="10">
        <v>71</v>
      </c>
      <c r="C11" s="10">
        <f>(B11-B8)/B8</f>
        <v>0.0676691729323308</v>
      </c>
      <c r="D11" s="10">
        <f>(A11*9.8/1000)/(C4)</f>
        <v>155559.173126615</v>
      </c>
    </row>
    <row r="12" spans="1:4">
      <c r="A12" s="10">
        <v>814.3</v>
      </c>
      <c r="B12" s="10">
        <v>72.1</v>
      </c>
      <c r="C12" s="10">
        <f>(B12-B8)/B8</f>
        <v>0.0842105263157894</v>
      </c>
      <c r="D12" s="10">
        <f>(A12*9.8/1000)/(C4)</f>
        <v>206205.167958656</v>
      </c>
    </row>
    <row r="13" spans="1:4">
      <c r="A13" s="10">
        <v>1014.3</v>
      </c>
      <c r="B13" s="10">
        <v>73.2</v>
      </c>
      <c r="C13" s="10">
        <f>(B13-B8)/B8</f>
        <v>0.100751879699248</v>
      </c>
      <c r="D13" s="10">
        <f>(A13*9.8/1000)/(C4)</f>
        <v>256851.162790698</v>
      </c>
    </row>
    <row r="14" spans="1:4">
      <c r="A14" s="10">
        <v>1214.3</v>
      </c>
      <c r="B14" s="10">
        <v>74</v>
      </c>
      <c r="C14" s="10">
        <f>(B14-B8)/B8</f>
        <v>0.112781954887218</v>
      </c>
      <c r="D14" s="10">
        <f>(A14*9.8/1000)/(C4)</f>
        <v>307497.157622739</v>
      </c>
    </row>
    <row r="15" spans="1:4">
      <c r="A15" s="10">
        <v>1414.3</v>
      </c>
      <c r="B15" s="10">
        <v>75.2</v>
      </c>
      <c r="C15" s="10">
        <f>(B15-B8)/B8</f>
        <v>0.130827067669173</v>
      </c>
      <c r="D15" s="10">
        <f>(A15*9.8/1000)/(C4)</f>
        <v>358143.15245478</v>
      </c>
    </row>
    <row r="16" spans="1:4">
      <c r="A16" s="10">
        <v>1614.3</v>
      </c>
      <c r="B16" s="10">
        <v>76.3</v>
      </c>
      <c r="C16" s="10">
        <f>(B16-B8)/B8</f>
        <v>0.147368421052632</v>
      </c>
      <c r="D16" s="10">
        <f>(A16*9.8/1000)/(C4)</f>
        <v>408789.147286822</v>
      </c>
    </row>
    <row r="17" spans="1:4">
      <c r="A17" s="10">
        <v>1814.3</v>
      </c>
      <c r="B17" s="10">
        <v>77.5</v>
      </c>
      <c r="C17" s="10">
        <f>(B17-B8)/B8</f>
        <v>0.165413533834586</v>
      </c>
      <c r="D17" s="10">
        <f>(A17*9.8/1000)/(C4)</f>
        <v>459435.142118863</v>
      </c>
    </row>
    <row r="18" spans="1:4">
      <c r="A18" s="10">
        <v>2014.3</v>
      </c>
      <c r="B18" s="10">
        <v>78.9</v>
      </c>
      <c r="C18" s="10">
        <f>(B18-B8)/B8</f>
        <v>0.186466165413534</v>
      </c>
      <c r="D18" s="10">
        <f>(A18*9.8/1000)/(C4)</f>
        <v>510081.136950904</v>
      </c>
    </row>
    <row r="20" spans="1:3">
      <c r="A20" s="7" t="s">
        <v>12</v>
      </c>
      <c r="B20" s="10" t="s">
        <v>13</v>
      </c>
      <c r="C20" s="7" t="s">
        <v>14</v>
      </c>
    </row>
    <row r="21" spans="1:3">
      <c r="A21" s="7" t="s">
        <v>15</v>
      </c>
      <c r="B21" s="10" t="s">
        <v>16</v>
      </c>
      <c r="C21" s="10">
        <f>SLOPE(D8:D18,C8:C18)</f>
        <v>2865537.24937625</v>
      </c>
    </row>
    <row r="22" spans="1:2">
      <c r="A22" s="7" t="s">
        <v>17</v>
      </c>
      <c r="B22" s="10" t="s">
        <v>18</v>
      </c>
    </row>
    <row r="23" spans="2:3">
      <c r="B23" s="16">
        <f>STEYX(D8:D18,C8:C18)</f>
        <v>12742.2526185664</v>
      </c>
      <c r="C23">
        <v>2870000</v>
      </c>
    </row>
    <row r="24" spans="2:3">
      <c r="B24">
        <f>1.96*B23</f>
        <v>24974.8151323902</v>
      </c>
      <c r="C24">
        <v>20000</v>
      </c>
    </row>
  </sheetData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workbookViewId="0">
      <selection activeCell="C21" sqref="C21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21</v>
      </c>
    </row>
    <row r="2" ht="14.4" spans="1:2">
      <c r="A2" s="3" t="s">
        <v>2</v>
      </c>
      <c r="B2" s="4"/>
    </row>
    <row r="3" spans="1:3">
      <c r="A3" s="5" t="s">
        <v>3</v>
      </c>
      <c r="B3" s="6">
        <v>12.9</v>
      </c>
      <c r="C3" s="7" t="s">
        <v>4</v>
      </c>
    </row>
    <row r="4" spans="1:3">
      <c r="A4" s="8" t="s">
        <v>5</v>
      </c>
      <c r="B4" s="9">
        <v>3</v>
      </c>
      <c r="C4" s="10">
        <f>(B3/1000)*(B4/1000)</f>
        <v>3.87e-5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15">
        <v>0</v>
      </c>
      <c r="B8" s="15">
        <v>71.3</v>
      </c>
      <c r="C8" s="10">
        <v>0</v>
      </c>
      <c r="D8" s="10">
        <v>0</v>
      </c>
    </row>
    <row r="9" spans="1:4">
      <c r="A9" s="10">
        <v>114.3</v>
      </c>
      <c r="B9" s="10">
        <v>72.1</v>
      </c>
      <c r="C9" s="10">
        <f>(B9-B8)/B8</f>
        <v>0.0112201963534361</v>
      </c>
      <c r="D9" s="10">
        <f>(A9*9.8/1000)/(C4)</f>
        <v>28944.1860465116</v>
      </c>
    </row>
    <row r="10" spans="1:4">
      <c r="A10" s="10">
        <v>314.3</v>
      </c>
      <c r="B10" s="10">
        <v>73.5</v>
      </c>
      <c r="C10" s="10">
        <f>(B10-B8)/B8</f>
        <v>0.0308555399719495</v>
      </c>
      <c r="D10" s="10">
        <f>(A10*9.8/1000)/(C4)</f>
        <v>79590.180878553</v>
      </c>
    </row>
    <row r="11" spans="1:4">
      <c r="A11" s="10">
        <v>514.3</v>
      </c>
      <c r="B11" s="10">
        <v>74.9</v>
      </c>
      <c r="C11" s="10">
        <f>(B11-B8)/B8</f>
        <v>0.050490883590463</v>
      </c>
      <c r="D11" s="10">
        <f>(A11*9.8/1000)/(C4)</f>
        <v>130236.175710594</v>
      </c>
    </row>
    <row r="12" spans="1:4">
      <c r="A12" s="10">
        <v>714.3</v>
      </c>
      <c r="B12" s="10">
        <v>76.3</v>
      </c>
      <c r="C12" s="10">
        <f>(B12-B8)/B8</f>
        <v>0.0701262272089762</v>
      </c>
      <c r="D12" s="10">
        <f>(A12*9.8/1000)/(C4)</f>
        <v>180882.170542636</v>
      </c>
    </row>
    <row r="13" spans="1:4">
      <c r="A13" s="10">
        <v>914.3</v>
      </c>
      <c r="B13" s="10">
        <v>77.8</v>
      </c>
      <c r="C13" s="10">
        <f>(B13-B8)/B8</f>
        <v>0.091164095371669</v>
      </c>
      <c r="D13" s="10">
        <f>(A13*9.8/1000)/(C4)</f>
        <v>231528.165374677</v>
      </c>
    </row>
    <row r="14" spans="1:4">
      <c r="A14" s="10">
        <v>1114.3</v>
      </c>
      <c r="B14" s="10">
        <v>79.2</v>
      </c>
      <c r="C14" s="10">
        <f>(B14-B8)/B8</f>
        <v>0.110799438990182</v>
      </c>
      <c r="D14" s="10">
        <f>(A14*9.8/1000)/(C4)</f>
        <v>282174.160206718</v>
      </c>
    </row>
    <row r="15" spans="1:4">
      <c r="A15" s="10">
        <v>1314.3</v>
      </c>
      <c r="B15" s="10">
        <v>81.3</v>
      </c>
      <c r="C15" s="10">
        <f>(B15-B8)/B8</f>
        <v>0.140252454417952</v>
      </c>
      <c r="D15" s="10">
        <f>(A15*9.8/1000)/(C4)</f>
        <v>332820.15503876</v>
      </c>
    </row>
    <row r="16" spans="1:4">
      <c r="A16" s="10">
        <v>1514.3</v>
      </c>
      <c r="B16" s="10">
        <v>83.5</v>
      </c>
      <c r="C16" s="10">
        <f>(B16-B8)/B8</f>
        <v>0.171107994389902</v>
      </c>
      <c r="D16" s="10">
        <f>(A16*9.8/1000)/(C4)</f>
        <v>383466.149870801</v>
      </c>
    </row>
    <row r="17" spans="1:4">
      <c r="A17" s="10">
        <v>1714.3</v>
      </c>
      <c r="B17" s="10">
        <v>84.3</v>
      </c>
      <c r="C17" s="10">
        <f>(B17-B8)/B8</f>
        <v>0.182328190743338</v>
      </c>
      <c r="D17" s="10">
        <f>(A17*9.8/1000)/(C4)</f>
        <v>434112.144702842</v>
      </c>
    </row>
    <row r="18" spans="1:4">
      <c r="A18" s="10">
        <v>1914.3</v>
      </c>
      <c r="B18" s="10">
        <v>86.3</v>
      </c>
      <c r="C18" s="10">
        <f>(B18-B8)/B8</f>
        <v>0.210378681626928</v>
      </c>
      <c r="D18" s="10">
        <f>(A18*9.8/1000)/(C4)</f>
        <v>484758.139534884</v>
      </c>
    </row>
    <row r="20" spans="1:3">
      <c r="A20" s="7" t="s">
        <v>12</v>
      </c>
      <c r="B20" s="10" t="s">
        <v>13</v>
      </c>
      <c r="C20" s="7" t="s">
        <v>14</v>
      </c>
    </row>
    <row r="21" spans="1:3">
      <c r="A21" s="7" t="s">
        <v>15</v>
      </c>
      <c r="B21" s="10" t="s">
        <v>16</v>
      </c>
      <c r="C21" s="10">
        <f>SLOPE(D8:D18,C8:C18)</f>
        <v>2285812.59920426</v>
      </c>
    </row>
    <row r="22" spans="1:2">
      <c r="A22" s="7" t="s">
        <v>17</v>
      </c>
      <c r="B22" s="10" t="s">
        <v>18</v>
      </c>
    </row>
    <row r="23" spans="2:3">
      <c r="B23" s="16">
        <f>STEYX(D8:D18,C8:C18)</f>
        <v>11534.5529728862</v>
      </c>
      <c r="C23">
        <v>2290000</v>
      </c>
    </row>
    <row r="24" spans="2:3">
      <c r="B24">
        <f>1.96*B23</f>
        <v>22607.723826857</v>
      </c>
      <c r="C24">
        <v>20000</v>
      </c>
    </row>
  </sheetData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workbookViewId="0">
      <selection activeCell="D16" sqref="D16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22</v>
      </c>
    </row>
    <row r="2" ht="14.4" spans="1:2">
      <c r="A2" s="3" t="s">
        <v>2</v>
      </c>
      <c r="B2" s="4"/>
    </row>
    <row r="3" spans="1:3">
      <c r="A3" s="5" t="s">
        <v>3</v>
      </c>
      <c r="B3" s="6">
        <v>13.3</v>
      </c>
      <c r="C3" s="7" t="s">
        <v>4</v>
      </c>
    </row>
    <row r="4" spans="1:3">
      <c r="A4" s="8" t="s">
        <v>5</v>
      </c>
      <c r="B4" s="9">
        <v>3</v>
      </c>
      <c r="C4" s="10">
        <f>(B3/1000)*(B4/1000)</f>
        <v>3.99e-5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15">
        <v>0</v>
      </c>
      <c r="B8" s="15">
        <v>72.2</v>
      </c>
      <c r="C8" s="10">
        <v>0</v>
      </c>
      <c r="D8" s="10">
        <v>0</v>
      </c>
    </row>
    <row r="9" spans="1:4">
      <c r="A9" s="10">
        <v>15.5</v>
      </c>
      <c r="B9" s="10">
        <v>72.5</v>
      </c>
      <c r="C9" s="19">
        <f>(B9-B8)/B8</f>
        <v>0.00415512465373957</v>
      </c>
      <c r="D9" s="19">
        <f>(A9*9.8/1000)/(C4)</f>
        <v>3807.01754385965</v>
      </c>
    </row>
    <row r="10" spans="1:4">
      <c r="A10" s="10">
        <v>115.5</v>
      </c>
      <c r="B10" s="10">
        <v>73</v>
      </c>
      <c r="C10" s="10">
        <f>(B10-B8)/B8</f>
        <v>0.0110803324099723</v>
      </c>
      <c r="D10" s="10">
        <f>(A10*9.8/1000)/(C4)</f>
        <v>28368.4210526316</v>
      </c>
    </row>
    <row r="11" spans="1:4">
      <c r="A11" s="10">
        <v>165.5</v>
      </c>
      <c r="B11" s="10">
        <v>73.3</v>
      </c>
      <c r="C11" s="10">
        <f>(B11-B8)/B8</f>
        <v>0.0152354570637118</v>
      </c>
      <c r="D11" s="10">
        <f>(A11*9.8/1000)/(C4)</f>
        <v>40649.1228070175</v>
      </c>
    </row>
    <row r="12" spans="1:4">
      <c r="A12" s="10">
        <v>215.5</v>
      </c>
      <c r="B12" s="10">
        <v>73.6</v>
      </c>
      <c r="C12" s="10">
        <f>(B12-B8)/B8</f>
        <v>0.0193905817174514</v>
      </c>
      <c r="D12" s="10">
        <f>(A12*9.8/1000)/(C4)</f>
        <v>52929.8245614035</v>
      </c>
    </row>
    <row r="13" spans="1:4">
      <c r="A13" s="10">
        <v>265.5</v>
      </c>
      <c r="B13" s="10">
        <v>74.1</v>
      </c>
      <c r="C13" s="10">
        <f>(B13-B8)/B8</f>
        <v>0.0263157894736841</v>
      </c>
      <c r="D13" s="10">
        <f>(A13*9.8/1000)/(C4)</f>
        <v>65210.5263157895</v>
      </c>
    </row>
    <row r="14" spans="1:4">
      <c r="A14" s="10">
        <v>315.5</v>
      </c>
      <c r="B14" s="10">
        <v>74.7</v>
      </c>
      <c r="C14" s="10">
        <f>(B14-B8)/B8</f>
        <v>0.0346260387811634</v>
      </c>
      <c r="D14" s="10">
        <f>(A14*9.8/1000)/(C4)</f>
        <v>77491.2280701754</v>
      </c>
    </row>
    <row r="15" spans="1:4">
      <c r="A15" s="10">
        <v>365.5</v>
      </c>
      <c r="B15" s="10">
        <v>75.2</v>
      </c>
      <c r="C15" s="10">
        <f>(B15-B8)/B8</f>
        <v>0.0415512465373961</v>
      </c>
      <c r="D15" s="10">
        <f>(A15*9.8/1000)/(C4)</f>
        <v>89771.9298245614</v>
      </c>
    </row>
    <row r="16" spans="1:4">
      <c r="A16" s="10">
        <v>415.5</v>
      </c>
      <c r="B16" s="10">
        <v>75.8</v>
      </c>
      <c r="C16" s="10">
        <f>(B16-B8)/B8</f>
        <v>0.0498614958448753</v>
      </c>
      <c r="D16" s="10">
        <f>(A16*9.8/1000)/(C4)</f>
        <v>102052.631578947</v>
      </c>
    </row>
    <row r="17" spans="1:4">
      <c r="A17" s="10">
        <v>465.5</v>
      </c>
      <c r="B17" s="10">
        <v>76.2</v>
      </c>
      <c r="C17" s="10">
        <f>(B17-B8)/B8</f>
        <v>0.0554016620498615</v>
      </c>
      <c r="D17" s="10">
        <f>(A17*9.8/1000)/(C4)</f>
        <v>114333.333333333</v>
      </c>
    </row>
    <row r="18" spans="1:4">
      <c r="A18" s="10">
        <v>515.5</v>
      </c>
      <c r="B18" s="10">
        <v>76.7</v>
      </c>
      <c r="C18" s="10">
        <f>(B18-B8)/B8</f>
        <v>0.0623268698060942</v>
      </c>
      <c r="D18" s="10">
        <f>(A18*9.8/1000)/(C4)</f>
        <v>126614.035087719</v>
      </c>
    </row>
    <row r="20" spans="1:3">
      <c r="A20" s="7" t="s">
        <v>12</v>
      </c>
      <c r="B20" s="10" t="s">
        <v>13</v>
      </c>
      <c r="C20" s="7" t="s">
        <v>14</v>
      </c>
    </row>
    <row r="21" spans="1:3">
      <c r="A21" s="7" t="s">
        <v>15</v>
      </c>
      <c r="B21" s="10" t="s">
        <v>23</v>
      </c>
      <c r="C21" s="10">
        <f>SLOPE(D8:D18,C8:C18)</f>
        <v>2005053.42426826</v>
      </c>
    </row>
    <row r="22" spans="1:2">
      <c r="A22" s="7" t="s">
        <v>17</v>
      </c>
      <c r="B22" s="10" t="s">
        <v>24</v>
      </c>
    </row>
    <row r="23" spans="2:3">
      <c r="B23" s="16">
        <f>STEYX(D8:D18,C8:C18)</f>
        <v>5895.05647538908</v>
      </c>
      <c r="C23">
        <v>2010000</v>
      </c>
    </row>
    <row r="24" spans="2:3">
      <c r="B24">
        <f>1.96*B23</f>
        <v>11554.3106917626</v>
      </c>
      <c r="C24">
        <v>10000</v>
      </c>
    </row>
  </sheetData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tabSelected="1" workbookViewId="0">
      <selection activeCell="C23" sqref="C23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17" t="s">
        <v>25</v>
      </c>
    </row>
    <row r="2" ht="14.4" spans="1:2">
      <c r="A2" s="3" t="s">
        <v>2</v>
      </c>
      <c r="B2" s="4"/>
    </row>
    <row r="3" spans="1:3">
      <c r="A3" s="5" t="s">
        <v>3</v>
      </c>
      <c r="B3" s="6">
        <v>13.2</v>
      </c>
      <c r="C3" s="7" t="s">
        <v>4</v>
      </c>
    </row>
    <row r="4" spans="1:3">
      <c r="A4" s="8" t="s">
        <v>5</v>
      </c>
      <c r="B4" s="9">
        <v>2.9</v>
      </c>
      <c r="C4" s="10">
        <f>(B3/1000)*(B4/1000)</f>
        <v>3.828e-5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15">
        <v>0</v>
      </c>
      <c r="B8" s="15">
        <v>69.2</v>
      </c>
      <c r="C8" s="10">
        <v>0</v>
      </c>
      <c r="D8" s="10">
        <v>0</v>
      </c>
    </row>
    <row r="9" spans="1:4">
      <c r="A9" s="10">
        <v>15.5</v>
      </c>
      <c r="B9" s="10">
        <v>69.2</v>
      </c>
      <c r="C9" s="18">
        <f>(B9-B8)/B8</f>
        <v>0</v>
      </c>
      <c r="D9" s="18">
        <f>(A9*9.8/1000)/(C4)</f>
        <v>3968.12957157785</v>
      </c>
    </row>
    <row r="10" spans="1:4">
      <c r="A10" s="10">
        <v>115.5</v>
      </c>
      <c r="B10" s="10">
        <v>70</v>
      </c>
      <c r="C10" s="10">
        <f>(B10-B8)/B8</f>
        <v>0.0115606936416185</v>
      </c>
      <c r="D10" s="10">
        <f>(A10*9.8/1000)/(C4)</f>
        <v>29568.9655172414</v>
      </c>
    </row>
    <row r="11" spans="1:4">
      <c r="A11" s="10">
        <v>165.5</v>
      </c>
      <c r="B11" s="10">
        <v>70.3</v>
      </c>
      <c r="C11" s="10">
        <f>(B11-B8)/B8</f>
        <v>0.0158959537572253</v>
      </c>
      <c r="D11" s="10">
        <f>(A11*9.8/1000)/(C4)</f>
        <v>42369.3834900732</v>
      </c>
    </row>
    <row r="12" spans="1:4">
      <c r="A12" s="10">
        <v>215.5</v>
      </c>
      <c r="B12" s="10">
        <v>70.9</v>
      </c>
      <c r="C12" s="10">
        <f>(B12-B8)/B8</f>
        <v>0.0245664739884393</v>
      </c>
      <c r="D12" s="10">
        <f>(A12*9.8/1000)/(C4)</f>
        <v>55169.8014629049</v>
      </c>
    </row>
    <row r="13" spans="1:4">
      <c r="A13" s="10">
        <v>265.5</v>
      </c>
      <c r="B13" s="10">
        <v>71.2</v>
      </c>
      <c r="C13" s="10">
        <f>(B13-B8)/B8</f>
        <v>0.0289017341040462</v>
      </c>
      <c r="D13" s="10">
        <f>(A13*9.8/1000)/(C4)</f>
        <v>67970.2194357367</v>
      </c>
    </row>
    <row r="14" spans="1:4">
      <c r="A14" s="10">
        <v>315.5</v>
      </c>
      <c r="B14" s="10">
        <v>71.8</v>
      </c>
      <c r="C14" s="10">
        <f>(B14-B8)/B8</f>
        <v>0.03757225433526</v>
      </c>
      <c r="D14" s="10">
        <f>(A14*9.8/1000)/(C4)</f>
        <v>80770.6374085684</v>
      </c>
    </row>
    <row r="15" spans="1:4">
      <c r="A15" s="10">
        <v>365.5</v>
      </c>
      <c r="B15" s="10">
        <v>72.2</v>
      </c>
      <c r="C15" s="10">
        <f>(B15-B8)/B8</f>
        <v>0.0433526011560694</v>
      </c>
      <c r="D15" s="10">
        <f>(A15*9.8/1000)/(C4)</f>
        <v>93571.0553814002</v>
      </c>
    </row>
    <row r="16" spans="1:4">
      <c r="A16" s="10">
        <v>415.5</v>
      </c>
      <c r="B16" s="10">
        <v>72.7</v>
      </c>
      <c r="C16" s="10">
        <f>(B16-B8)/B8</f>
        <v>0.0505780346820809</v>
      </c>
      <c r="D16" s="10">
        <f>(A16*9.8/1000)/(C4)</f>
        <v>106371.473354232</v>
      </c>
    </row>
    <row r="17" spans="1:4">
      <c r="A17" s="10">
        <v>465.5</v>
      </c>
      <c r="B17" s="10">
        <v>73.1</v>
      </c>
      <c r="C17" s="10">
        <f>(B17-B8)/B8</f>
        <v>0.05635838150289</v>
      </c>
      <c r="D17" s="10">
        <f>(A17*9.8/1000)/(C4)</f>
        <v>119171.891327064</v>
      </c>
    </row>
    <row r="18" spans="1:4">
      <c r="A18" s="10">
        <v>515.5</v>
      </c>
      <c r="B18" s="10">
        <v>73.5</v>
      </c>
      <c r="C18" s="10">
        <f>(B18-B8)/B8</f>
        <v>0.0621387283236994</v>
      </c>
      <c r="D18" s="10">
        <f>(A18*9.8/1000)/(C4)</f>
        <v>131972.309299896</v>
      </c>
    </row>
    <row r="20" spans="1:3">
      <c r="A20" s="7" t="s">
        <v>12</v>
      </c>
      <c r="B20" s="10" t="s">
        <v>13</v>
      </c>
      <c r="C20" s="7" t="s">
        <v>14</v>
      </c>
    </row>
    <row r="21" spans="1:3">
      <c r="A21" s="7" t="s">
        <v>15</v>
      </c>
      <c r="B21" s="10" t="s">
        <v>23</v>
      </c>
      <c r="C21" s="10">
        <f>SLOPE(D8:D18,C8:C18)</f>
        <v>2046708.39846955</v>
      </c>
    </row>
    <row r="22" spans="1:2">
      <c r="A22" s="7" t="s">
        <v>17</v>
      </c>
      <c r="B22" s="10" t="s">
        <v>24</v>
      </c>
    </row>
    <row r="23" spans="2:3">
      <c r="B23" s="16">
        <f>STEYX(D8:D18,C8:C18)</f>
        <v>2828.53057072098</v>
      </c>
      <c r="C23">
        <v>2047000</v>
      </c>
    </row>
    <row r="24" spans="2:3">
      <c r="B24">
        <f>1.96*B23</f>
        <v>5543.91991861312</v>
      </c>
      <c r="C24">
        <v>10000</v>
      </c>
    </row>
  </sheetData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workbookViewId="0">
      <selection activeCell="D13" sqref="D13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26</v>
      </c>
    </row>
    <row r="2" ht="14.4" spans="1:2">
      <c r="A2" s="3" t="s">
        <v>2</v>
      </c>
      <c r="B2" s="4"/>
    </row>
    <row r="3" spans="1:3">
      <c r="A3" s="5" t="s">
        <v>3</v>
      </c>
      <c r="B3" s="6">
        <v>13</v>
      </c>
      <c r="C3" s="7" t="s">
        <v>4</v>
      </c>
    </row>
    <row r="4" spans="1:3">
      <c r="A4" s="8" t="s">
        <v>5</v>
      </c>
      <c r="B4" s="9">
        <v>2.9</v>
      </c>
      <c r="C4" s="10">
        <f>(B3/1000)*(B4/1000)</f>
        <v>3.77e-5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15">
        <v>0</v>
      </c>
      <c r="B8" s="15">
        <v>71.5</v>
      </c>
      <c r="C8" s="10">
        <v>0</v>
      </c>
      <c r="D8" s="10">
        <v>0</v>
      </c>
    </row>
    <row r="9" spans="1:4">
      <c r="A9" s="10">
        <v>15.5</v>
      </c>
      <c r="B9" s="10">
        <v>71.7</v>
      </c>
      <c r="C9" s="10">
        <f>(B9-B8)/B8</f>
        <v>0.00279720279720284</v>
      </c>
      <c r="D9" s="10">
        <f>(A9*9.8/1000)/(C4)</f>
        <v>4029.17771883289</v>
      </c>
    </row>
    <row r="10" spans="1:4">
      <c r="A10" s="10">
        <v>115.5</v>
      </c>
      <c r="B10" s="10">
        <v>72.5</v>
      </c>
      <c r="C10" s="10">
        <f>(B10-B8)/B8</f>
        <v>0.013986013986014</v>
      </c>
      <c r="D10" s="10">
        <f>(A10*9.8/1000)/(C4)</f>
        <v>30023.8726790451</v>
      </c>
    </row>
    <row r="11" spans="1:4">
      <c r="A11" s="10">
        <v>165.5</v>
      </c>
      <c r="B11" s="10">
        <v>72.8</v>
      </c>
      <c r="C11" s="10">
        <f>(B11-B8)/B8</f>
        <v>0.0181818181818181</v>
      </c>
      <c r="D11" s="10">
        <f>(A11*9.8/1000)/(C4)</f>
        <v>43021.2201591512</v>
      </c>
    </row>
    <row r="12" spans="1:4">
      <c r="A12" s="10">
        <v>215.5</v>
      </c>
      <c r="B12" s="10">
        <v>73.3</v>
      </c>
      <c r="C12" s="10">
        <f>(B12-B8)/B8</f>
        <v>0.0251748251748251</v>
      </c>
      <c r="D12" s="10">
        <f>(A12*9.8/1000)/(C4)</f>
        <v>56018.5676392573</v>
      </c>
    </row>
    <row r="13" spans="1:4">
      <c r="A13" s="10">
        <v>265.5</v>
      </c>
      <c r="B13" s="10">
        <v>73.9</v>
      </c>
      <c r="C13" s="10">
        <f>(B13-B8)/B8</f>
        <v>0.0335664335664336</v>
      </c>
      <c r="D13" s="10">
        <f>(A13*9.8/1000)/(C4)</f>
        <v>69015.9151193634</v>
      </c>
    </row>
    <row r="14" spans="1:4">
      <c r="A14" s="10">
        <v>315.5</v>
      </c>
      <c r="B14" s="10">
        <v>74.3</v>
      </c>
      <c r="C14" s="10">
        <f>(B14-B8)/B8</f>
        <v>0.0391608391608391</v>
      </c>
      <c r="D14" s="10">
        <f>(A14*9.8/1000)/(C4)</f>
        <v>82013.2625994695</v>
      </c>
    </row>
    <row r="15" spans="1:4">
      <c r="A15" s="10">
        <v>365.5</v>
      </c>
      <c r="B15" s="10">
        <v>74.8</v>
      </c>
      <c r="C15" s="10">
        <f>(B15-B8)/B8</f>
        <v>0.0461538461538461</v>
      </c>
      <c r="D15" s="10">
        <f>(A15*9.8/1000)/(C4)</f>
        <v>95010.6100795756</v>
      </c>
    </row>
    <row r="16" spans="1:4">
      <c r="A16" s="10">
        <v>415.5</v>
      </c>
      <c r="B16" s="10">
        <v>75.2</v>
      </c>
      <c r="C16" s="10">
        <f>(B16-B8)/B8</f>
        <v>0.0517482517482518</v>
      </c>
      <c r="D16" s="10">
        <f>(A16*9.8/1000)/(C4)</f>
        <v>108007.957559682</v>
      </c>
    </row>
    <row r="17" spans="1:4">
      <c r="A17" s="10">
        <v>465.5</v>
      </c>
      <c r="B17" s="10">
        <v>75.8</v>
      </c>
      <c r="C17" s="10">
        <f>(B17-B8)/B8</f>
        <v>0.0601398601398601</v>
      </c>
      <c r="D17" s="10">
        <f>(A17*9.8/1000)/(C4)</f>
        <v>121005.305039788</v>
      </c>
    </row>
    <row r="18" spans="1:4">
      <c r="A18" s="10">
        <v>515.5</v>
      </c>
      <c r="B18" s="10">
        <v>76.2</v>
      </c>
      <c r="C18" s="10">
        <f>(B18-B8)/B8</f>
        <v>0.0657342657342658</v>
      </c>
      <c r="D18" s="10">
        <f>(A18*9.8/1000)/(C4)</f>
        <v>134002.652519894</v>
      </c>
    </row>
    <row r="20" spans="1:3">
      <c r="A20" s="7" t="s">
        <v>12</v>
      </c>
      <c r="B20" s="10" t="s">
        <v>13</v>
      </c>
      <c r="C20" s="7" t="s">
        <v>14</v>
      </c>
    </row>
    <row r="21" spans="1:3">
      <c r="A21" s="7" t="s">
        <v>15</v>
      </c>
      <c r="B21" s="10" t="s">
        <v>23</v>
      </c>
      <c r="C21" s="10">
        <f>SLOPE(D8:D18,C8:C18)</f>
        <v>2025647.88254961</v>
      </c>
    </row>
    <row r="22" spans="1:2">
      <c r="A22" s="7" t="s">
        <v>17</v>
      </c>
      <c r="B22" s="10" t="s">
        <v>24</v>
      </c>
    </row>
    <row r="23" spans="2:3">
      <c r="B23" s="16">
        <f>STEYX(D8:D18,C8:C18)</f>
        <v>2491.69824883926</v>
      </c>
      <c r="C23">
        <v>2026000</v>
      </c>
    </row>
    <row r="24" spans="2:3">
      <c r="B24">
        <f>1.96*B23</f>
        <v>4883.72856772494</v>
      </c>
      <c r="C24">
        <v>5000</v>
      </c>
    </row>
  </sheetData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workbookViewId="0">
      <selection activeCell="C24" sqref="C24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27</v>
      </c>
    </row>
    <row r="2" ht="14.4" spans="1:2">
      <c r="A2" s="3" t="s">
        <v>2</v>
      </c>
      <c r="B2" s="4"/>
    </row>
    <row r="3" spans="1:3">
      <c r="A3" s="5" t="s">
        <v>3</v>
      </c>
      <c r="B3" s="6">
        <v>13.5</v>
      </c>
      <c r="C3" s="7" t="s">
        <v>4</v>
      </c>
    </row>
    <row r="4" spans="1:3">
      <c r="A4" s="8" t="s">
        <v>5</v>
      </c>
      <c r="B4" s="9">
        <v>3</v>
      </c>
      <c r="C4" s="10">
        <f>(B3/1000)*(B4/1000)</f>
        <v>4.05e-5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15">
        <v>0</v>
      </c>
      <c r="B8" s="15">
        <v>71.5</v>
      </c>
      <c r="C8" s="10">
        <v>0</v>
      </c>
      <c r="D8" s="10">
        <v>0</v>
      </c>
    </row>
    <row r="9" spans="1:4">
      <c r="A9" s="10">
        <v>15.5</v>
      </c>
      <c r="B9" s="10">
        <v>71.7</v>
      </c>
      <c r="C9" s="10">
        <f>(B9-B8)/B8</f>
        <v>0.00279720279720284</v>
      </c>
      <c r="D9" s="10">
        <f>(A9*9.8/1000)/(C4)</f>
        <v>3750.61728395062</v>
      </c>
    </row>
    <row r="10" spans="1:4">
      <c r="A10" s="10">
        <v>65.5</v>
      </c>
      <c r="B10" s="10">
        <v>72.1</v>
      </c>
      <c r="C10" s="10">
        <f>(B10-B8)/B8</f>
        <v>0.00839160839160831</v>
      </c>
      <c r="D10" s="10">
        <f>(A10*9.8/1000)/(C4)</f>
        <v>15849.3827160494</v>
      </c>
    </row>
    <row r="11" spans="1:4">
      <c r="A11" s="10">
        <v>165.5</v>
      </c>
      <c r="B11" s="10">
        <v>72.8</v>
      </c>
      <c r="C11" s="10">
        <f>(B11-B8)/B8</f>
        <v>0.0181818181818181</v>
      </c>
      <c r="D11" s="10">
        <f>(A11*9.8/1000)/(C4)</f>
        <v>40046.9135802469</v>
      </c>
    </row>
    <row r="12" spans="1:4">
      <c r="A12" s="10">
        <v>215.5</v>
      </c>
      <c r="B12" s="10">
        <v>73.2</v>
      </c>
      <c r="C12" s="10">
        <f>(B12-B8)/B8</f>
        <v>0.0237762237762238</v>
      </c>
      <c r="D12" s="10">
        <f>(A12*9.8/1000)/(C4)</f>
        <v>52145.6790123457</v>
      </c>
    </row>
    <row r="13" spans="1:4">
      <c r="A13" s="10">
        <v>265.5</v>
      </c>
      <c r="B13" s="10">
        <v>73.8</v>
      </c>
      <c r="C13" s="10">
        <f>(B13-B8)/B8</f>
        <v>0.0321678321678321</v>
      </c>
      <c r="D13" s="10">
        <f>(A13*9.8/1000)/(C4)</f>
        <v>64244.4444444444</v>
      </c>
    </row>
    <row r="14" spans="1:4">
      <c r="A14" s="10">
        <v>315.5</v>
      </c>
      <c r="B14" s="10">
        <v>74.3</v>
      </c>
      <c r="C14" s="10">
        <f>(B14-B8)/B8</f>
        <v>0.0391608391608391</v>
      </c>
      <c r="D14" s="10">
        <f>(A14*9.8/1000)/(C4)</f>
        <v>76343.2098765432</v>
      </c>
    </row>
    <row r="15" spans="1:4">
      <c r="A15" s="10">
        <v>365.5</v>
      </c>
      <c r="B15" s="10">
        <v>74.7</v>
      </c>
      <c r="C15" s="10">
        <f>(B15-B8)/B8</f>
        <v>0.0447552447552448</v>
      </c>
      <c r="D15" s="10">
        <f>(A15*9.8/1000)/(C4)</f>
        <v>88441.975308642</v>
      </c>
    </row>
    <row r="16" spans="1:4">
      <c r="A16" s="10">
        <v>415.5</v>
      </c>
      <c r="B16" s="10">
        <v>75.2</v>
      </c>
      <c r="C16" s="10">
        <f>(B16-B8)/B8</f>
        <v>0.0517482517482518</v>
      </c>
      <c r="D16" s="10">
        <f>(A16*9.8/1000)/(C4)</f>
        <v>100540.740740741</v>
      </c>
    </row>
    <row r="17" spans="1:4">
      <c r="A17" s="10">
        <v>465.5</v>
      </c>
      <c r="B17" s="10">
        <v>75.9</v>
      </c>
      <c r="C17" s="10">
        <f>(B17-B8)/B8</f>
        <v>0.0615384615384616</v>
      </c>
      <c r="D17" s="10">
        <f>(A17*9.8/1000)/(C4)</f>
        <v>112639.50617284</v>
      </c>
    </row>
    <row r="18" spans="1:4">
      <c r="A18" s="10">
        <v>515.5</v>
      </c>
      <c r="B18" s="10">
        <v>76.3</v>
      </c>
      <c r="C18" s="10">
        <f>(B18-B8)/B8</f>
        <v>0.0671328671328671</v>
      </c>
      <c r="D18" s="10">
        <f>(A18*9.8/1000)/(C4)</f>
        <v>124738.271604938</v>
      </c>
    </row>
    <row r="20" spans="1:3">
      <c r="A20" s="7" t="s">
        <v>12</v>
      </c>
      <c r="B20" s="10" t="s">
        <v>13</v>
      </c>
      <c r="C20" s="7" t="s">
        <v>14</v>
      </c>
    </row>
    <row r="21" spans="1:3">
      <c r="A21" s="7" t="s">
        <v>15</v>
      </c>
      <c r="B21" s="10" t="s">
        <v>23</v>
      </c>
      <c r="C21" s="10">
        <f>SLOPE(D8:D18,C8:C18)</f>
        <v>1861858.60085555</v>
      </c>
    </row>
    <row r="22" spans="1:2">
      <c r="A22" s="7" t="s">
        <v>17</v>
      </c>
      <c r="B22" s="10" t="s">
        <v>24</v>
      </c>
    </row>
    <row r="23" spans="2:3">
      <c r="B23" s="16">
        <f>STEYX(D8:D18,C8:C18)</f>
        <v>3510.51988652848</v>
      </c>
      <c r="C23">
        <v>1860000</v>
      </c>
    </row>
    <row r="24" spans="2:3">
      <c r="B24">
        <f>1.96*B23</f>
        <v>6880.61897759581</v>
      </c>
      <c r="C24">
        <v>10000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MA</vt:lpstr>
      <vt:lpstr>MB</vt:lpstr>
      <vt:lpstr>MC</vt:lpstr>
      <vt:lpstr>MD</vt:lpstr>
      <vt:lpstr>PA</vt:lpstr>
      <vt:lpstr>PB</vt:lpstr>
      <vt:lpstr>PC</vt:lpstr>
      <vt:lpstr>PD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Cavalli</dc:creator>
  <cp:lastModifiedBy>v</cp:lastModifiedBy>
  <dcterms:created xsi:type="dcterms:W3CDTF">2018-09-06T08:42:00Z</dcterms:created>
  <dcterms:modified xsi:type="dcterms:W3CDTF">2023-03-04T05:59:54Z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2ED205AA0D7B4D47AB59CE930B532313</vt:lpwstr>
  </property>
  <property fmtid="{D5CDD505-2E9C-101B-9397-08002B2CF9AE}" pid="3" name="KSOProductBuildVer">
    <vt:lpwstr>2052-11.1.0.12763</vt:lpwstr>
  </property>
</Properties>
</file>