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xuanming/Downloads/"/>
    </mc:Choice>
  </mc:AlternateContent>
  <xr:revisionPtr revIDLastSave="0" documentId="13_ncr:1_{FB980310-28CE-8146-A026-560625C89808}" xr6:coauthVersionLast="47" xr6:coauthVersionMax="47" xr10:uidLastSave="{00000000-0000-0000-0000-000000000000}"/>
  <bookViews>
    <workbookView xWindow="4440" yWindow="760" windowWidth="25800" windowHeight="17620" activeTab="3" xr2:uid="{F4251BC0-87FA-4977-8A94-0AB7BAA4355B}"/>
  </bookViews>
  <sheets>
    <sheet name="PS-X" sheetId="1" r:id="rId1"/>
    <sheet name="PS-Y" sheetId="2" r:id="rId2"/>
    <sheet name="PA-C" sheetId="3" r:id="rId3"/>
    <sheet name="PA-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F14" i="4"/>
  <c r="F13" i="4"/>
  <c r="F12" i="4"/>
  <c r="F11" i="4"/>
  <c r="F10" i="4"/>
  <c r="F9" i="4"/>
  <c r="F8" i="4"/>
  <c r="F7" i="4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50" i="2"/>
  <c r="F51" i="2"/>
  <c r="F7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7" i="1"/>
</calcChain>
</file>

<file path=xl/sharedStrings.xml><?xml version="1.0" encoding="utf-8"?>
<sst xmlns="http://schemas.openxmlformats.org/spreadsheetml/2006/main" count="32" uniqueCount="12">
  <si>
    <t>Zeta potential (mV) of Unmodified particles measured by Student X</t>
    <phoneticPr fontId="2" type="noConversion"/>
  </si>
  <si>
    <t>Each test is generated through 30 cycles, the data presents the mean, standard error and standard deviation of the all the dataset</t>
    <phoneticPr fontId="2" type="noConversion"/>
  </si>
  <si>
    <t>A good rule to evaluate the zeta potential quality is the SD is about 10% but not less than 2mV</t>
    <phoneticPr fontId="2" type="noConversion"/>
  </si>
  <si>
    <t>The resolution of the Zeta Sizer is 0.01mV, and the diameter of the nanoparticle is 500nm</t>
    <phoneticPr fontId="2" type="noConversion"/>
  </si>
  <si>
    <t>Particle</t>
    <phoneticPr fontId="2" type="noConversion"/>
  </si>
  <si>
    <t>Mean</t>
    <phoneticPr fontId="2" type="noConversion"/>
  </si>
  <si>
    <t>SE</t>
    <phoneticPr fontId="2" type="noConversion"/>
  </si>
  <si>
    <t>SD</t>
    <phoneticPr fontId="2" type="noConversion"/>
  </si>
  <si>
    <t>Zeta potential (mV) of Unmodified particles measured by Student Y</t>
    <phoneticPr fontId="2" type="noConversion"/>
  </si>
  <si>
    <t>Each test is generated through 30 cycles, the data presents the mean and standard error of the all the dataset</t>
    <phoneticPr fontId="2" type="noConversion"/>
  </si>
  <si>
    <t>Zeta potential (mV) of Peptide A modified particles from C terminal</t>
    <phoneticPr fontId="2" type="noConversion"/>
  </si>
  <si>
    <t>Zeta potential (mV) of Peptide A modified particles from N terminal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</si>
</sst>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A98F-AFC8-4D78-8C2D-6BB96DCAF11C}">
  <dimension ref="A1:F49"/>
  <sheetViews>
    <sheetView workbookViewId="0">
      <selection activeCell="F7" sqref="F7:F49"/>
    </sheetView>
  </sheetViews>
  <sheetFormatPr baseColWidth="10" defaultColWidth="8.83203125" defaultRowHeight="16"/>
  <cols>
    <col min="1" max="1" width="12.6640625" style="3" customWidth="1"/>
    <col min="2" max="3" width="9" style="3"/>
  </cols>
  <sheetData>
    <row r="1" spans="1:6">
      <c r="A1" s="1" t="s">
        <v>0</v>
      </c>
      <c r="B1" s="2"/>
    </row>
    <row r="2" spans="1:6">
      <c r="A2" s="4" t="s">
        <v>1</v>
      </c>
      <c r="B2" s="2"/>
    </row>
    <row r="3" spans="1:6">
      <c r="A3" s="4" t="s">
        <v>2</v>
      </c>
      <c r="B3" s="2"/>
    </row>
    <row r="4" spans="1:6">
      <c r="A4" s="4" t="s">
        <v>3</v>
      </c>
      <c r="B4" s="2"/>
    </row>
    <row r="5" spans="1:6">
      <c r="A5" s="4"/>
      <c r="B5" s="2"/>
    </row>
    <row r="6" spans="1:6">
      <c r="A6" s="2" t="s">
        <v>4</v>
      </c>
      <c r="B6" s="2" t="s">
        <v>5</v>
      </c>
      <c r="C6" s="5" t="s">
        <v>6</v>
      </c>
      <c r="D6" s="5" t="s">
        <v>7</v>
      </c>
      <c r="E6" s="5"/>
      <c r="F6" s="6"/>
    </row>
    <row r="7" spans="1:6">
      <c r="A7" s="3">
        <v>1</v>
      </c>
      <c r="B7" s="3">
        <v>-77.05</v>
      </c>
      <c r="C7" s="3">
        <v>3.5211100000000002</v>
      </c>
      <c r="D7">
        <v>7.7820499999999999</v>
      </c>
      <c r="F7">
        <f>(D7/B7)*100</f>
        <v>-10.100000000000001</v>
      </c>
    </row>
    <row r="8" spans="1:6">
      <c r="A8" s="3">
        <v>2</v>
      </c>
      <c r="B8" s="3">
        <v>-72.459999999999994</v>
      </c>
      <c r="C8" s="3">
        <v>4.2365300000000001</v>
      </c>
      <c r="D8">
        <v>7.463379999999999</v>
      </c>
      <c r="F8">
        <f t="shared" ref="F8:F49" si="0">(D8/B8)*100</f>
        <v>-10.299999999999999</v>
      </c>
    </row>
    <row r="9" spans="1:6">
      <c r="A9" s="3">
        <v>3</v>
      </c>
      <c r="B9" s="3">
        <v>-68.09</v>
      </c>
      <c r="C9" s="3">
        <v>2.66778</v>
      </c>
      <c r="D9">
        <v>6.8770900000000008</v>
      </c>
      <c r="F9">
        <f t="shared" si="0"/>
        <v>-10.100000000000001</v>
      </c>
    </row>
    <row r="10" spans="1:6">
      <c r="A10" s="3">
        <v>4</v>
      </c>
      <c r="B10" s="3">
        <v>-87.82</v>
      </c>
      <c r="C10" s="3">
        <v>2.6789499999999999</v>
      </c>
      <c r="D10">
        <v>8.6941799999999994</v>
      </c>
      <c r="F10">
        <f t="shared" si="0"/>
        <v>-9.9</v>
      </c>
    </row>
    <row r="11" spans="1:6">
      <c r="A11" s="3">
        <v>5</v>
      </c>
      <c r="B11" s="3">
        <v>-70.19</v>
      </c>
      <c r="C11" s="3">
        <v>3.7331699999999999</v>
      </c>
      <c r="D11">
        <v>7.2295699999999989</v>
      </c>
      <c r="F11">
        <f t="shared" si="0"/>
        <v>-10.299999999999999</v>
      </c>
    </row>
    <row r="12" spans="1:6">
      <c r="A12" s="3">
        <v>6</v>
      </c>
      <c r="B12" s="3">
        <v>-66.05</v>
      </c>
      <c r="C12" s="3">
        <v>1.7696799999999999</v>
      </c>
      <c r="D12">
        <v>6.8031499999999996</v>
      </c>
      <c r="F12">
        <f t="shared" si="0"/>
        <v>-10.299999999999999</v>
      </c>
    </row>
    <row r="13" spans="1:6">
      <c r="A13" s="3">
        <v>7</v>
      </c>
      <c r="B13" s="3">
        <v>-53.98</v>
      </c>
      <c r="C13" s="3">
        <v>2.9634200000000002</v>
      </c>
      <c r="D13">
        <v>5.5059599999999991</v>
      </c>
      <c r="F13">
        <f t="shared" si="0"/>
        <v>-10.199999999999999</v>
      </c>
    </row>
    <row r="14" spans="1:6">
      <c r="A14" s="3">
        <v>8</v>
      </c>
      <c r="B14" s="3">
        <v>-73.25</v>
      </c>
      <c r="C14" s="3">
        <v>3.87399</v>
      </c>
      <c r="D14">
        <v>7.6912500000000001</v>
      </c>
      <c r="F14">
        <f t="shared" si="0"/>
        <v>-10.5</v>
      </c>
    </row>
    <row r="15" spans="1:6">
      <c r="A15" s="3">
        <v>9</v>
      </c>
      <c r="B15" s="3">
        <v>-86.87</v>
      </c>
      <c r="C15" s="3">
        <v>3.5588700000000002</v>
      </c>
      <c r="D15">
        <v>8.6001300000000001</v>
      </c>
      <c r="F15">
        <f t="shared" si="0"/>
        <v>-9.8999999999999986</v>
      </c>
    </row>
    <row r="16" spans="1:6">
      <c r="A16" s="3">
        <v>10</v>
      </c>
      <c r="B16" s="3">
        <v>-6.66</v>
      </c>
      <c r="C16" s="3">
        <v>4.2682200000000003</v>
      </c>
      <c r="D16">
        <v>6.3327</v>
      </c>
      <c r="F16">
        <f t="shared" si="0"/>
        <v>-95.085585585585591</v>
      </c>
    </row>
    <row r="17" spans="1:6">
      <c r="A17" s="3">
        <v>11</v>
      </c>
      <c r="B17" s="3">
        <v>-66.89</v>
      </c>
      <c r="C17" s="3">
        <v>2.25902</v>
      </c>
      <c r="D17">
        <v>7.0234499999999995</v>
      </c>
      <c r="F17">
        <f t="shared" si="0"/>
        <v>-10.5</v>
      </c>
    </row>
    <row r="18" spans="1:6">
      <c r="A18" s="3">
        <v>12</v>
      </c>
      <c r="B18" s="3">
        <v>-69.900000000000006</v>
      </c>
      <c r="C18" s="3">
        <v>3.61477</v>
      </c>
      <c r="D18">
        <v>7.4793000000000003</v>
      </c>
      <c r="F18">
        <f t="shared" si="0"/>
        <v>-10.7</v>
      </c>
    </row>
    <row r="19" spans="1:6">
      <c r="A19" s="3">
        <v>13</v>
      </c>
      <c r="B19" s="3">
        <v>-70.73</v>
      </c>
      <c r="C19" s="3">
        <v>4.5557999999999996</v>
      </c>
      <c r="D19">
        <v>7.3559200000000002</v>
      </c>
      <c r="F19">
        <f t="shared" si="0"/>
        <v>-10.4</v>
      </c>
    </row>
    <row r="20" spans="1:6">
      <c r="A20" s="3">
        <v>14</v>
      </c>
      <c r="B20" s="3">
        <v>-74.73</v>
      </c>
      <c r="C20" s="3">
        <v>4.1352200000000003</v>
      </c>
      <c r="D20">
        <v>7.5477300000000005</v>
      </c>
      <c r="F20">
        <f t="shared" si="0"/>
        <v>-10.100000000000001</v>
      </c>
    </row>
    <row r="21" spans="1:6">
      <c r="A21" s="3">
        <v>15</v>
      </c>
      <c r="B21" s="3">
        <v>-81.55</v>
      </c>
      <c r="C21" s="3">
        <v>5.6806999999999999</v>
      </c>
      <c r="D21">
        <v>7.9919000000000002</v>
      </c>
      <c r="F21">
        <f t="shared" si="0"/>
        <v>-9.8000000000000007</v>
      </c>
    </row>
    <row r="22" spans="1:6">
      <c r="A22" s="3">
        <v>16</v>
      </c>
      <c r="B22" s="3">
        <v>-73.400000000000006</v>
      </c>
      <c r="C22" s="3">
        <v>3.1642000000000001</v>
      </c>
      <c r="D22">
        <v>7.5602</v>
      </c>
      <c r="F22">
        <f t="shared" si="0"/>
        <v>-10.299999999999999</v>
      </c>
    </row>
    <row r="23" spans="1:6">
      <c r="A23" s="3">
        <v>17</v>
      </c>
      <c r="B23" s="3">
        <v>-71.13</v>
      </c>
      <c r="C23" s="3">
        <v>2.7469899999999998</v>
      </c>
      <c r="D23">
        <v>6.9707400000000002</v>
      </c>
      <c r="F23">
        <f t="shared" si="0"/>
        <v>-9.8000000000000007</v>
      </c>
    </row>
    <row r="24" spans="1:6">
      <c r="A24" s="3">
        <v>18</v>
      </c>
      <c r="B24" s="3">
        <v>-78.8</v>
      </c>
      <c r="C24" s="3">
        <v>2.1537500000000001</v>
      </c>
      <c r="D24">
        <v>8.0375999999999994</v>
      </c>
      <c r="F24">
        <f t="shared" si="0"/>
        <v>-10.199999999999999</v>
      </c>
    </row>
    <row r="25" spans="1:6">
      <c r="A25" s="3">
        <v>19</v>
      </c>
      <c r="B25" s="3">
        <v>-61.6</v>
      </c>
      <c r="C25" s="3">
        <v>4.9745100000000004</v>
      </c>
      <c r="D25">
        <v>6.2831999999999999</v>
      </c>
      <c r="F25">
        <f t="shared" si="0"/>
        <v>-10.199999999999999</v>
      </c>
    </row>
    <row r="26" spans="1:6">
      <c r="A26" s="3">
        <v>20</v>
      </c>
      <c r="B26" s="3">
        <v>-84.93</v>
      </c>
      <c r="C26" s="3">
        <v>3.0937000000000001</v>
      </c>
      <c r="D26">
        <v>8.6628600000000002</v>
      </c>
      <c r="F26">
        <f t="shared" si="0"/>
        <v>-10.199999999999999</v>
      </c>
    </row>
    <row r="27" spans="1:6">
      <c r="A27" s="3">
        <v>21</v>
      </c>
      <c r="B27" s="3">
        <v>-72.45</v>
      </c>
      <c r="C27" s="3">
        <v>5.0206</v>
      </c>
      <c r="D27">
        <v>7.3898999999999999</v>
      </c>
      <c r="F27">
        <f t="shared" si="0"/>
        <v>-10.199999999999999</v>
      </c>
    </row>
    <row r="28" spans="1:6">
      <c r="A28" s="3">
        <v>22</v>
      </c>
      <c r="B28" s="3">
        <v>-71.2</v>
      </c>
      <c r="C28" s="3">
        <v>2.0922100000000001</v>
      </c>
      <c r="D28">
        <v>7.3335999999999997</v>
      </c>
      <c r="F28">
        <f t="shared" si="0"/>
        <v>-10.299999999999999</v>
      </c>
    </row>
    <row r="29" spans="1:6">
      <c r="A29" s="3">
        <v>23</v>
      </c>
      <c r="B29" s="3">
        <v>67.739999999999995</v>
      </c>
      <c r="C29" s="3">
        <v>2.9386999999999999</v>
      </c>
      <c r="D29">
        <v>6.7062599999999994</v>
      </c>
      <c r="F29">
        <f t="shared" si="0"/>
        <v>9.9</v>
      </c>
    </row>
    <row r="30" spans="1:6">
      <c r="A30" s="3">
        <v>24</v>
      </c>
      <c r="B30" s="3">
        <v>-80.36</v>
      </c>
      <c r="C30" s="3">
        <v>5.9305899999999996</v>
      </c>
      <c r="D30">
        <v>7.5538400000000001</v>
      </c>
      <c r="F30">
        <f t="shared" si="0"/>
        <v>-9.4</v>
      </c>
    </row>
    <row r="31" spans="1:6">
      <c r="A31" s="3">
        <v>25</v>
      </c>
      <c r="B31" s="3">
        <v>-61.8</v>
      </c>
      <c r="C31" s="3">
        <v>4.6676099999999998</v>
      </c>
      <c r="D31">
        <v>6.2418000000000005</v>
      </c>
      <c r="F31">
        <f t="shared" si="0"/>
        <v>-10.100000000000001</v>
      </c>
    </row>
    <row r="32" spans="1:6">
      <c r="A32" s="3">
        <v>26</v>
      </c>
      <c r="B32" s="3">
        <v>-73.56</v>
      </c>
      <c r="C32" s="3">
        <v>3.6281599999999998</v>
      </c>
      <c r="D32">
        <v>6.8410799999999998</v>
      </c>
      <c r="F32">
        <f t="shared" si="0"/>
        <v>-9.3000000000000007</v>
      </c>
    </row>
    <row r="33" spans="1:6">
      <c r="A33" s="3">
        <v>27</v>
      </c>
      <c r="B33" s="3">
        <v>-69.36</v>
      </c>
      <c r="C33" s="3">
        <v>2.5563799999999999</v>
      </c>
      <c r="D33">
        <v>6.8666400000000003</v>
      </c>
      <c r="F33">
        <f t="shared" si="0"/>
        <v>-9.9</v>
      </c>
    </row>
    <row r="34" spans="1:6">
      <c r="A34" s="3">
        <v>28</v>
      </c>
      <c r="B34" s="3">
        <v>-68.05</v>
      </c>
      <c r="C34" s="3">
        <v>4.2120300000000004</v>
      </c>
      <c r="D34">
        <v>6.5327999999999999</v>
      </c>
      <c r="F34">
        <f t="shared" si="0"/>
        <v>-9.6</v>
      </c>
    </row>
    <row r="35" spans="1:6">
      <c r="A35" s="3">
        <v>29</v>
      </c>
      <c r="B35" s="3">
        <v>-71.28</v>
      </c>
      <c r="C35" s="3">
        <v>2.1669800000000001</v>
      </c>
      <c r="D35">
        <v>7.1992800000000008</v>
      </c>
      <c r="F35">
        <f t="shared" si="0"/>
        <v>-10.100000000000001</v>
      </c>
    </row>
    <row r="36" spans="1:6">
      <c r="A36" s="3">
        <v>30</v>
      </c>
      <c r="B36" s="3">
        <v>-74.150000000000006</v>
      </c>
      <c r="C36" s="3">
        <v>1.8164899999999999</v>
      </c>
      <c r="D36">
        <v>7.7116000000000007</v>
      </c>
      <c r="F36">
        <f t="shared" si="0"/>
        <v>-10.4</v>
      </c>
    </row>
    <row r="37" spans="1:6">
      <c r="A37" s="3">
        <v>31</v>
      </c>
      <c r="B37" s="3">
        <v>-65.41</v>
      </c>
      <c r="C37" s="3">
        <v>3.0526399999999998</v>
      </c>
      <c r="D37">
        <v>6.2793599999999996</v>
      </c>
      <c r="F37">
        <f t="shared" si="0"/>
        <v>-9.6</v>
      </c>
    </row>
    <row r="38" spans="1:6">
      <c r="A38" s="3">
        <v>32</v>
      </c>
      <c r="B38" s="3">
        <v>-71.34</v>
      </c>
      <c r="C38" s="3">
        <v>5.7376500000000004</v>
      </c>
      <c r="D38">
        <v>6.8486400000000005</v>
      </c>
      <c r="F38">
        <f t="shared" si="0"/>
        <v>-9.6</v>
      </c>
    </row>
    <row r="39" spans="1:6">
      <c r="A39" s="3">
        <v>33</v>
      </c>
      <c r="B39" s="3">
        <v>-60.18</v>
      </c>
      <c r="C39" s="3">
        <v>2.6461999999999999</v>
      </c>
      <c r="D39">
        <v>5.6569200000000004</v>
      </c>
      <c r="F39">
        <f t="shared" si="0"/>
        <v>-9.4</v>
      </c>
    </row>
    <row r="40" spans="1:6">
      <c r="A40" s="3">
        <v>34</v>
      </c>
      <c r="B40" s="3">
        <v>-57.85</v>
      </c>
      <c r="C40" s="3">
        <v>1.9776100000000001</v>
      </c>
      <c r="D40">
        <v>5.4379</v>
      </c>
      <c r="F40">
        <f t="shared" si="0"/>
        <v>-9.4</v>
      </c>
    </row>
    <row r="41" spans="1:6">
      <c r="A41" s="3">
        <v>35</v>
      </c>
      <c r="B41" s="3">
        <v>-74.78</v>
      </c>
      <c r="C41" s="3">
        <v>3.9637199999999999</v>
      </c>
      <c r="D41">
        <v>8.0014599999999998</v>
      </c>
      <c r="F41">
        <f t="shared" si="0"/>
        <v>-10.7</v>
      </c>
    </row>
    <row r="42" spans="1:6">
      <c r="A42" s="3">
        <v>36</v>
      </c>
      <c r="B42" s="3">
        <v>-68.680000000000007</v>
      </c>
      <c r="C42" s="3">
        <v>3.8700800000000002</v>
      </c>
      <c r="D42">
        <v>7.2800800000000008</v>
      </c>
      <c r="F42">
        <f t="shared" si="0"/>
        <v>-10.6</v>
      </c>
    </row>
    <row r="43" spans="1:6">
      <c r="A43" s="3">
        <v>37</v>
      </c>
      <c r="B43" s="3">
        <v>-70.709999999999994</v>
      </c>
      <c r="C43" s="3">
        <v>1.8394600000000001</v>
      </c>
      <c r="D43">
        <v>7.0002899999999997</v>
      </c>
      <c r="F43">
        <f t="shared" si="0"/>
        <v>-9.9</v>
      </c>
    </row>
    <row r="44" spans="1:6">
      <c r="A44" s="3">
        <v>38</v>
      </c>
      <c r="B44" s="3">
        <v>-80.989999999999995</v>
      </c>
      <c r="C44" s="3">
        <v>4.3528599999999997</v>
      </c>
      <c r="D44">
        <v>8.0180100000000003</v>
      </c>
      <c r="F44">
        <f t="shared" si="0"/>
        <v>-9.9</v>
      </c>
    </row>
    <row r="45" spans="1:6">
      <c r="A45" s="3">
        <v>39</v>
      </c>
      <c r="B45" s="3">
        <v>-64.34</v>
      </c>
      <c r="C45" s="3">
        <v>2.8069799999999998</v>
      </c>
      <c r="D45">
        <v>6.7557</v>
      </c>
      <c r="F45">
        <f t="shared" si="0"/>
        <v>-10.5</v>
      </c>
    </row>
    <row r="46" spans="1:6">
      <c r="A46" s="3">
        <v>40</v>
      </c>
      <c r="B46" s="3">
        <v>-73.44</v>
      </c>
      <c r="C46" s="3">
        <v>3.75142</v>
      </c>
      <c r="D46">
        <v>7.7111999999999998</v>
      </c>
      <c r="F46">
        <f t="shared" si="0"/>
        <v>-10.5</v>
      </c>
    </row>
    <row r="47" spans="1:6">
      <c r="A47" s="3">
        <v>41</v>
      </c>
      <c r="B47" s="3">
        <v>-74.34</v>
      </c>
      <c r="C47" s="3">
        <v>0.51576999999999995</v>
      </c>
      <c r="D47">
        <v>7.5083400000000005</v>
      </c>
      <c r="F47">
        <f t="shared" si="0"/>
        <v>-10.100000000000001</v>
      </c>
    </row>
    <row r="48" spans="1:6">
      <c r="A48" s="3">
        <v>42</v>
      </c>
      <c r="B48" s="3">
        <v>-70.89</v>
      </c>
      <c r="C48" s="3">
        <v>3.1764299999999999</v>
      </c>
      <c r="D48">
        <v>7.0890000000000004</v>
      </c>
      <c r="F48">
        <f t="shared" si="0"/>
        <v>-10</v>
      </c>
    </row>
    <row r="49" spans="1:6">
      <c r="A49" s="3">
        <v>43</v>
      </c>
      <c r="B49" s="3">
        <v>-65.98</v>
      </c>
      <c r="C49" s="3">
        <v>5.0715399999999997</v>
      </c>
      <c r="D49">
        <v>6.7959399999999999</v>
      </c>
      <c r="F49">
        <f t="shared" si="0"/>
        <v>-10.299999999999999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483F-934F-48D9-A0B0-463991EEFAFE}">
  <dimension ref="A1:G54"/>
  <sheetViews>
    <sheetView workbookViewId="0">
      <selection activeCell="F7" sqref="F7:F51"/>
    </sheetView>
  </sheetViews>
  <sheetFormatPr baseColWidth="10" defaultColWidth="8.83203125" defaultRowHeight="16"/>
  <cols>
    <col min="1" max="1" width="12.6640625" customWidth="1"/>
    <col min="2" max="3" width="9" style="3"/>
  </cols>
  <sheetData>
    <row r="1" spans="1:7">
      <c r="A1" s="1" t="s">
        <v>8</v>
      </c>
      <c r="B1" s="2"/>
    </row>
    <row r="2" spans="1:7">
      <c r="A2" s="4" t="s">
        <v>9</v>
      </c>
      <c r="B2" s="2"/>
    </row>
    <row r="3" spans="1:7">
      <c r="A3" s="4" t="s">
        <v>2</v>
      </c>
      <c r="B3" s="2"/>
    </row>
    <row r="4" spans="1:7">
      <c r="A4" s="4" t="s">
        <v>3</v>
      </c>
      <c r="B4" s="2"/>
    </row>
    <row r="5" spans="1:7">
      <c r="A5" s="4"/>
      <c r="B5" s="2"/>
    </row>
    <row r="6" spans="1:7">
      <c r="A6" s="2" t="s">
        <v>4</v>
      </c>
      <c r="B6" s="2" t="s">
        <v>5</v>
      </c>
      <c r="C6" s="5" t="s">
        <v>6</v>
      </c>
      <c r="D6" s="5" t="s">
        <v>7</v>
      </c>
    </row>
    <row r="7" spans="1:7">
      <c r="A7" s="3">
        <v>1</v>
      </c>
      <c r="B7" s="3">
        <v>-78.180000000000007</v>
      </c>
      <c r="C7" s="3">
        <v>3.84057</v>
      </c>
      <c r="D7">
        <v>7.3489200000000006</v>
      </c>
      <c r="F7">
        <f>(D7/B7)*100</f>
        <v>-9.4</v>
      </c>
    </row>
    <row r="8" spans="1:7">
      <c r="A8" s="3">
        <v>2</v>
      </c>
      <c r="B8" s="3">
        <v>-74.900000000000006</v>
      </c>
      <c r="C8" s="3">
        <v>3.7083400000000002</v>
      </c>
      <c r="D8">
        <v>7.2653000000000008</v>
      </c>
      <c r="F8">
        <f t="shared" ref="F8:F51" si="0">(D8/B8)*100</f>
        <v>-9.7000000000000011</v>
      </c>
    </row>
    <row r="9" spans="1:7">
      <c r="A9" s="3">
        <v>3</v>
      </c>
      <c r="B9" s="3">
        <v>-63.86</v>
      </c>
      <c r="C9" s="3">
        <v>3.63063</v>
      </c>
      <c r="D9">
        <v>6.5137199999999993</v>
      </c>
      <c r="F9">
        <f t="shared" si="0"/>
        <v>-10.199999999999999</v>
      </c>
      <c r="G9" s="3"/>
    </row>
    <row r="10" spans="1:7">
      <c r="A10" s="3">
        <v>4</v>
      </c>
      <c r="B10" s="3">
        <v>-70.739999999999995</v>
      </c>
      <c r="C10" s="3">
        <v>2.5900799999999999</v>
      </c>
      <c r="D10">
        <v>7.1447399999999996</v>
      </c>
      <c r="F10">
        <f t="shared" si="0"/>
        <v>-10.100000000000001</v>
      </c>
      <c r="G10" s="3"/>
    </row>
    <row r="11" spans="1:7">
      <c r="A11" s="3">
        <v>5</v>
      </c>
      <c r="B11" s="3">
        <v>-79.08</v>
      </c>
      <c r="C11" s="3">
        <v>2.7930299999999999</v>
      </c>
      <c r="D11">
        <v>8.06616</v>
      </c>
      <c r="F11">
        <f t="shared" si="0"/>
        <v>-10.200000000000001</v>
      </c>
    </row>
    <row r="12" spans="1:7">
      <c r="A12" s="3">
        <v>6</v>
      </c>
      <c r="B12" s="3">
        <v>-63.3</v>
      </c>
      <c r="C12" s="3">
        <v>2.2435100000000001</v>
      </c>
      <c r="D12">
        <v>6.456599999999999</v>
      </c>
      <c r="F12">
        <f t="shared" si="0"/>
        <v>-10.199999999999999</v>
      </c>
    </row>
    <row r="13" spans="1:7">
      <c r="A13" s="3">
        <v>7</v>
      </c>
      <c r="B13" s="3">
        <v>-70.89</v>
      </c>
      <c r="C13" s="3">
        <v>1.68587</v>
      </c>
      <c r="D13">
        <v>6.7345500000000005</v>
      </c>
      <c r="F13">
        <f t="shared" si="0"/>
        <v>-9.5</v>
      </c>
    </row>
    <row r="14" spans="1:7">
      <c r="A14" s="3">
        <v>8</v>
      </c>
      <c r="B14" s="3">
        <v>-72.650000000000006</v>
      </c>
      <c r="C14" s="3">
        <v>2.97688</v>
      </c>
      <c r="D14">
        <v>7.3376500000000009</v>
      </c>
      <c r="F14">
        <f t="shared" si="0"/>
        <v>-10.100000000000001</v>
      </c>
    </row>
    <row r="15" spans="1:7">
      <c r="A15" s="3">
        <v>9</v>
      </c>
      <c r="B15" s="3">
        <v>-69.37</v>
      </c>
      <c r="C15" s="3">
        <v>5.1178699999999999</v>
      </c>
      <c r="D15">
        <v>7.4225900000000005</v>
      </c>
      <c r="F15">
        <f t="shared" si="0"/>
        <v>-10.7</v>
      </c>
    </row>
    <row r="16" spans="1:7">
      <c r="A16" s="3">
        <v>10</v>
      </c>
      <c r="B16" s="3">
        <v>-73.42</v>
      </c>
      <c r="C16" s="3">
        <v>6.8312299999999997</v>
      </c>
      <c r="D16">
        <v>7.7091000000000003</v>
      </c>
      <c r="F16">
        <f t="shared" si="0"/>
        <v>-10.5</v>
      </c>
    </row>
    <row r="17" spans="1:6">
      <c r="A17" s="3">
        <v>11</v>
      </c>
      <c r="B17" s="3">
        <v>-71.48</v>
      </c>
      <c r="C17" s="3">
        <v>3.04284</v>
      </c>
      <c r="D17">
        <v>6.9335600000000008</v>
      </c>
      <c r="F17">
        <f t="shared" si="0"/>
        <v>-9.7000000000000011</v>
      </c>
    </row>
    <row r="18" spans="1:6">
      <c r="A18" s="3">
        <v>12</v>
      </c>
      <c r="B18" s="3">
        <v>-70.180000000000007</v>
      </c>
      <c r="C18" s="3">
        <v>5.2646600000000001</v>
      </c>
      <c r="D18">
        <v>6.5969200000000008</v>
      </c>
      <c r="F18">
        <f t="shared" si="0"/>
        <v>-9.4</v>
      </c>
    </row>
    <row r="19" spans="1:6">
      <c r="A19" s="3">
        <v>13</v>
      </c>
      <c r="B19" s="3">
        <v>-69.77</v>
      </c>
      <c r="C19" s="3">
        <v>1.94784</v>
      </c>
      <c r="D19">
        <v>7.3258499999999991</v>
      </c>
      <c r="F19">
        <f t="shared" si="0"/>
        <v>-10.5</v>
      </c>
    </row>
    <row r="20" spans="1:6">
      <c r="A20" s="3">
        <v>14</v>
      </c>
      <c r="B20" s="3">
        <v>-61.8</v>
      </c>
      <c r="C20" s="3">
        <v>4.1538599999999999</v>
      </c>
      <c r="D20">
        <v>6.3653999999999993</v>
      </c>
      <c r="F20">
        <f t="shared" si="0"/>
        <v>-10.299999999999999</v>
      </c>
    </row>
    <row r="21" spans="1:6">
      <c r="A21" s="3">
        <v>15</v>
      </c>
      <c r="B21" s="3">
        <v>-83.14</v>
      </c>
      <c r="C21" s="3">
        <v>5.32538</v>
      </c>
      <c r="D21">
        <v>8.2308599999999998</v>
      </c>
      <c r="F21">
        <f t="shared" si="0"/>
        <v>-9.8999999999999986</v>
      </c>
    </row>
    <row r="22" spans="1:6">
      <c r="A22" s="3">
        <v>16</v>
      </c>
      <c r="B22" s="3">
        <v>-65.83</v>
      </c>
      <c r="C22" s="3">
        <v>2.4409200000000002</v>
      </c>
      <c r="D22">
        <v>6.2538499999999999</v>
      </c>
      <c r="F22">
        <f t="shared" si="0"/>
        <v>-9.5</v>
      </c>
    </row>
    <row r="23" spans="1:6">
      <c r="A23" s="3">
        <v>17</v>
      </c>
      <c r="B23" s="3">
        <v>-8006</v>
      </c>
      <c r="C23" s="3">
        <v>3.4305699999999999</v>
      </c>
      <c r="D23">
        <v>7.8458800000000002</v>
      </c>
      <c r="F23">
        <f t="shared" si="0"/>
        <v>-9.8000000000000004E-2</v>
      </c>
    </row>
    <row r="24" spans="1:6">
      <c r="A24" s="3">
        <v>18</v>
      </c>
      <c r="B24" s="3">
        <v>-68.63</v>
      </c>
      <c r="C24" s="3">
        <v>5.5524800000000001</v>
      </c>
      <c r="D24">
        <v>7.2061499999999992</v>
      </c>
      <c r="F24">
        <f t="shared" si="0"/>
        <v>-10.5</v>
      </c>
    </row>
    <row r="25" spans="1:6">
      <c r="A25" s="3">
        <v>19</v>
      </c>
      <c r="B25" s="3">
        <v>-76.849999999999994</v>
      </c>
      <c r="C25" s="3">
        <v>3.43729</v>
      </c>
      <c r="D25">
        <v>7.1470499999999992</v>
      </c>
      <c r="F25">
        <f t="shared" si="0"/>
        <v>-9.3000000000000007</v>
      </c>
    </row>
    <row r="26" spans="1:6">
      <c r="A26" s="3">
        <v>20</v>
      </c>
      <c r="B26" s="3">
        <v>-75.78</v>
      </c>
      <c r="C26" s="3">
        <v>2.8018100000000001</v>
      </c>
      <c r="D26">
        <v>8.1084599999999991</v>
      </c>
      <c r="F26">
        <f t="shared" si="0"/>
        <v>-10.7</v>
      </c>
    </row>
    <row r="27" spans="1:6">
      <c r="A27" s="3">
        <v>21</v>
      </c>
      <c r="B27" s="3">
        <v>-68.95</v>
      </c>
      <c r="C27" s="3">
        <v>4.2092900000000002</v>
      </c>
      <c r="D27">
        <v>6.7571000000000003</v>
      </c>
      <c r="F27">
        <f t="shared" si="0"/>
        <v>-9.8000000000000007</v>
      </c>
    </row>
    <row r="28" spans="1:6">
      <c r="A28" s="3">
        <v>22</v>
      </c>
      <c r="B28" s="3">
        <v>-70.16</v>
      </c>
      <c r="C28" s="3">
        <v>3.6901999999999999</v>
      </c>
      <c r="D28">
        <v>7.1563199999999991</v>
      </c>
      <c r="F28">
        <f t="shared" si="0"/>
        <v>-10.199999999999999</v>
      </c>
    </row>
    <row r="29" spans="1:6">
      <c r="A29" s="3">
        <v>23</v>
      </c>
      <c r="B29" s="3">
        <v>-68.400000000000006</v>
      </c>
      <c r="C29" s="3">
        <v>4.8726399999999996</v>
      </c>
      <c r="D29">
        <v>6.7716000000000012</v>
      </c>
      <c r="F29">
        <f t="shared" si="0"/>
        <v>-9.9</v>
      </c>
    </row>
    <row r="30" spans="1:6">
      <c r="A30" s="3">
        <v>24</v>
      </c>
      <c r="B30" s="3">
        <v>-84.79</v>
      </c>
      <c r="C30" s="3">
        <v>2.9839099999999998</v>
      </c>
      <c r="D30">
        <v>9.0725300000000004</v>
      </c>
      <c r="F30">
        <f t="shared" si="0"/>
        <v>-10.7</v>
      </c>
    </row>
    <row r="31" spans="1:6">
      <c r="A31" s="3">
        <v>25</v>
      </c>
      <c r="B31" s="3">
        <v>-75.69</v>
      </c>
      <c r="C31" s="3">
        <v>2.8323399999999999</v>
      </c>
      <c r="D31">
        <v>7.6446900000000007</v>
      </c>
      <c r="F31">
        <f t="shared" si="0"/>
        <v>-10.100000000000001</v>
      </c>
    </row>
    <row r="32" spans="1:6">
      <c r="A32" s="3">
        <v>26</v>
      </c>
      <c r="B32" s="3">
        <v>-69.17</v>
      </c>
      <c r="C32" s="3">
        <v>2.3446199999999999</v>
      </c>
      <c r="D32">
        <v>7.0553399999999993</v>
      </c>
      <c r="F32">
        <f t="shared" si="0"/>
        <v>-10.199999999999999</v>
      </c>
    </row>
    <row r="33" spans="1:6">
      <c r="A33" s="3">
        <v>27</v>
      </c>
      <c r="B33" s="3">
        <v>-79.56</v>
      </c>
      <c r="C33" s="3">
        <v>4.9416700000000002</v>
      </c>
      <c r="D33">
        <v>7.3990800000000005</v>
      </c>
      <c r="F33">
        <f t="shared" si="0"/>
        <v>-9.3000000000000007</v>
      </c>
    </row>
    <row r="34" spans="1:6">
      <c r="A34" s="3">
        <v>28</v>
      </c>
      <c r="B34" s="3">
        <v>-71.069999999999993</v>
      </c>
      <c r="C34" s="3">
        <v>4.8895099999999996</v>
      </c>
      <c r="D34">
        <v>6.8937899999999992</v>
      </c>
      <c r="F34">
        <f t="shared" si="0"/>
        <v>-9.7000000000000011</v>
      </c>
    </row>
    <row r="35" spans="1:6">
      <c r="A35" s="3">
        <v>29</v>
      </c>
      <c r="B35" s="3">
        <v>-75.87</v>
      </c>
      <c r="C35" s="3">
        <v>3.9474200000000002</v>
      </c>
      <c r="D35">
        <v>7.6628700000000007</v>
      </c>
      <c r="F35">
        <f t="shared" si="0"/>
        <v>-10.100000000000001</v>
      </c>
    </row>
    <row r="36" spans="1:6">
      <c r="A36" s="3">
        <v>30</v>
      </c>
      <c r="B36" s="3">
        <v>-77.44</v>
      </c>
      <c r="C36" s="3">
        <v>2.0440700000000001</v>
      </c>
      <c r="D36">
        <v>8.208639999999999</v>
      </c>
      <c r="F36">
        <f t="shared" si="0"/>
        <v>-10.6</v>
      </c>
    </row>
    <row r="37" spans="1:6">
      <c r="A37" s="3">
        <v>31</v>
      </c>
      <c r="B37" s="3">
        <v>-62.59</v>
      </c>
      <c r="C37" s="3">
        <v>4.4436999999999998</v>
      </c>
      <c r="D37">
        <v>6.5719500000000002</v>
      </c>
      <c r="F37">
        <f t="shared" si="0"/>
        <v>-10.5</v>
      </c>
    </row>
    <row r="38" spans="1:6">
      <c r="A38" s="3">
        <v>32</v>
      </c>
      <c r="B38" s="3">
        <v>-95.48</v>
      </c>
      <c r="C38" s="3">
        <v>4.3070199999999996</v>
      </c>
      <c r="D38">
        <v>9.0706000000000007</v>
      </c>
      <c r="F38">
        <f t="shared" si="0"/>
        <v>-9.5</v>
      </c>
    </row>
    <row r="39" spans="1:6">
      <c r="A39" s="3">
        <v>33</v>
      </c>
      <c r="B39" s="3">
        <v>-73.36</v>
      </c>
      <c r="C39" s="3">
        <v>1.6437600000000001</v>
      </c>
      <c r="D39">
        <v>7.0425599999999999</v>
      </c>
      <c r="F39">
        <f t="shared" si="0"/>
        <v>-9.6</v>
      </c>
    </row>
    <row r="40" spans="1:6">
      <c r="A40" s="3">
        <v>34</v>
      </c>
      <c r="B40" s="3">
        <v>-71.849999999999994</v>
      </c>
      <c r="C40" s="3">
        <v>5.1101700000000001</v>
      </c>
      <c r="D40">
        <v>7.25685</v>
      </c>
      <c r="F40">
        <f t="shared" si="0"/>
        <v>-10.100000000000001</v>
      </c>
    </row>
    <row r="41" spans="1:6">
      <c r="A41" s="3">
        <v>35</v>
      </c>
      <c r="B41" s="3">
        <v>-77.78</v>
      </c>
      <c r="C41" s="3">
        <v>3.7652700000000001</v>
      </c>
      <c r="D41">
        <v>7.7780000000000005</v>
      </c>
      <c r="F41">
        <f t="shared" si="0"/>
        <v>-10</v>
      </c>
    </row>
    <row r="42" spans="1:6">
      <c r="A42" s="3">
        <v>36</v>
      </c>
      <c r="B42" s="3">
        <v>-70.95</v>
      </c>
      <c r="C42" s="3">
        <v>4.4307400000000001</v>
      </c>
      <c r="D42">
        <v>6.6693000000000007</v>
      </c>
      <c r="F42">
        <f t="shared" si="0"/>
        <v>-9.4</v>
      </c>
    </row>
    <row r="43" spans="1:6">
      <c r="A43" s="3">
        <v>37</v>
      </c>
      <c r="B43" s="3">
        <v>-65.67</v>
      </c>
      <c r="C43" s="3">
        <v>5.6674800000000003</v>
      </c>
      <c r="D43">
        <v>6.1729799999999999</v>
      </c>
      <c r="F43">
        <f t="shared" si="0"/>
        <v>-9.4</v>
      </c>
    </row>
    <row r="44" spans="1:6">
      <c r="A44" s="3">
        <v>38</v>
      </c>
      <c r="B44" s="3">
        <v>-64.38</v>
      </c>
      <c r="C44" s="3">
        <v>2.8289900000000001</v>
      </c>
      <c r="D44">
        <v>6.5667599999999995</v>
      </c>
      <c r="F44">
        <f t="shared" si="0"/>
        <v>-10.199999999999999</v>
      </c>
    </row>
    <row r="45" spans="1:6">
      <c r="A45" s="3">
        <v>39</v>
      </c>
      <c r="B45" s="3">
        <v>-7.87</v>
      </c>
      <c r="C45" s="3">
        <v>4.73888</v>
      </c>
      <c r="D45">
        <v>7.0870000000000006</v>
      </c>
      <c r="F45">
        <f t="shared" si="0"/>
        <v>-90.050825921219825</v>
      </c>
    </row>
    <row r="46" spans="1:6">
      <c r="A46" s="3">
        <v>40</v>
      </c>
      <c r="B46" s="3">
        <v>-84.61</v>
      </c>
      <c r="C46" s="3">
        <v>3.2835899999999998</v>
      </c>
      <c r="D46">
        <v>8.0379500000000004</v>
      </c>
      <c r="F46">
        <f t="shared" si="0"/>
        <v>-9.5</v>
      </c>
    </row>
    <row r="47" spans="1:6">
      <c r="A47" s="3">
        <v>41</v>
      </c>
      <c r="B47" s="3">
        <v>-93.78</v>
      </c>
      <c r="C47" s="3">
        <v>2.1086999999999998</v>
      </c>
      <c r="D47">
        <v>10.034459999999999</v>
      </c>
      <c r="F47">
        <f t="shared" si="0"/>
        <v>-10.7</v>
      </c>
    </row>
    <row r="48" spans="1:6">
      <c r="A48" s="3">
        <v>42</v>
      </c>
      <c r="B48" s="3">
        <v>-79.930000000000007</v>
      </c>
      <c r="C48" s="3">
        <v>4.3571400000000002</v>
      </c>
      <c r="D48">
        <v>8.0729300000000013</v>
      </c>
      <c r="F48">
        <f t="shared" si="0"/>
        <v>-10.100000000000001</v>
      </c>
    </row>
    <row r="49" spans="1:6">
      <c r="A49" s="3">
        <v>43</v>
      </c>
      <c r="B49" s="3">
        <v>-61.58</v>
      </c>
      <c r="C49" s="3">
        <v>3.4464899999999998</v>
      </c>
      <c r="D49">
        <v>5.7269399999999999</v>
      </c>
      <c r="F49">
        <f t="shared" si="0"/>
        <v>-9.3000000000000007</v>
      </c>
    </row>
    <row r="50" spans="1:6">
      <c r="A50" s="3">
        <v>44</v>
      </c>
      <c r="B50" s="3">
        <v>-74.88</v>
      </c>
      <c r="C50" s="3">
        <v>1.69478</v>
      </c>
      <c r="D50">
        <v>7.3382399999999999</v>
      </c>
      <c r="F50">
        <f t="shared" si="0"/>
        <v>-9.8000000000000007</v>
      </c>
    </row>
    <row r="51" spans="1:6">
      <c r="A51" s="3">
        <v>45</v>
      </c>
      <c r="B51" s="3">
        <v>-69.08</v>
      </c>
      <c r="C51" s="3">
        <v>2.36456</v>
      </c>
      <c r="D51">
        <v>6.4244399999999997</v>
      </c>
      <c r="F51">
        <f t="shared" si="0"/>
        <v>-9.3000000000000007</v>
      </c>
    </row>
    <row r="52" spans="1:6">
      <c r="A52" s="3"/>
    </row>
    <row r="53" spans="1:6">
      <c r="A53" s="3"/>
    </row>
    <row r="54" spans="1:6">
      <c r="A54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751C-3D84-493B-927D-A6D912FE40BC}">
  <dimension ref="A1:F19"/>
  <sheetViews>
    <sheetView workbookViewId="0">
      <selection activeCell="F7" sqref="F7:F19"/>
    </sheetView>
  </sheetViews>
  <sheetFormatPr baseColWidth="10" defaultColWidth="8.83203125" defaultRowHeight="16"/>
  <cols>
    <col min="1" max="1" width="12.6640625" customWidth="1"/>
    <col min="2" max="2" width="9" style="3"/>
  </cols>
  <sheetData>
    <row r="1" spans="1:6">
      <c r="A1" s="1" t="s">
        <v>10</v>
      </c>
      <c r="B1" s="2"/>
    </row>
    <row r="2" spans="1:6">
      <c r="A2" s="4" t="s">
        <v>9</v>
      </c>
      <c r="B2" s="2"/>
    </row>
    <row r="3" spans="1:6">
      <c r="A3" s="4" t="s">
        <v>2</v>
      </c>
      <c r="B3" s="2"/>
    </row>
    <row r="4" spans="1:6">
      <c r="A4" s="4" t="s">
        <v>3</v>
      </c>
      <c r="B4" s="2"/>
    </row>
    <row r="5" spans="1:6">
      <c r="A5" s="4"/>
      <c r="B5" s="2"/>
    </row>
    <row r="6" spans="1:6">
      <c r="A6" s="2" t="s">
        <v>4</v>
      </c>
      <c r="B6" s="2" t="s">
        <v>5</v>
      </c>
      <c r="C6" s="5" t="s">
        <v>6</v>
      </c>
      <c r="D6" s="5" t="s">
        <v>7</v>
      </c>
    </row>
    <row r="7" spans="1:6">
      <c r="A7" s="3">
        <v>1</v>
      </c>
      <c r="B7" s="3">
        <v>-38.67</v>
      </c>
      <c r="C7" s="3">
        <v>1.9888600000000001</v>
      </c>
      <c r="D7">
        <v>3.5963100000000003</v>
      </c>
      <c r="F7">
        <f>(D7/B7)*100</f>
        <v>-9.3000000000000007</v>
      </c>
    </row>
    <row r="8" spans="1:6">
      <c r="A8" s="3">
        <v>2</v>
      </c>
      <c r="B8" s="3">
        <v>-28.54</v>
      </c>
      <c r="C8" s="3">
        <v>2.5729099999999998</v>
      </c>
      <c r="D8">
        <v>2.8825400000000001</v>
      </c>
      <c r="F8">
        <f t="shared" ref="F8:F51" si="0">(D8/B8)*100</f>
        <v>-10.100000000000001</v>
      </c>
    </row>
    <row r="9" spans="1:6">
      <c r="A9" s="3">
        <v>3</v>
      </c>
      <c r="B9" s="3">
        <v>-28.41</v>
      </c>
      <c r="C9" s="3">
        <v>2.2037499999999999</v>
      </c>
      <c r="D9">
        <v>2.9262299999999999</v>
      </c>
      <c r="F9">
        <f t="shared" si="0"/>
        <v>-10.299999999999999</v>
      </c>
    </row>
    <row r="10" spans="1:6">
      <c r="A10" s="3">
        <v>4</v>
      </c>
      <c r="B10" s="3">
        <v>-34.64</v>
      </c>
      <c r="C10" s="3">
        <v>2.4577800000000001</v>
      </c>
      <c r="D10">
        <v>3.67184</v>
      </c>
      <c r="F10">
        <f t="shared" si="0"/>
        <v>-10.6</v>
      </c>
    </row>
    <row r="11" spans="1:6">
      <c r="A11" s="3">
        <v>5</v>
      </c>
      <c r="B11" s="3">
        <v>-37.090000000000003</v>
      </c>
      <c r="C11" s="3">
        <v>2.1995800000000001</v>
      </c>
      <c r="D11">
        <v>3.4493700000000005</v>
      </c>
      <c r="F11">
        <f t="shared" si="0"/>
        <v>-9.3000000000000007</v>
      </c>
    </row>
    <row r="12" spans="1:6">
      <c r="A12" s="3">
        <v>6</v>
      </c>
      <c r="B12" s="3">
        <v>-30.52</v>
      </c>
      <c r="C12" s="3">
        <v>2.7012100000000001</v>
      </c>
      <c r="D12">
        <v>2.9909600000000003</v>
      </c>
      <c r="F12">
        <f t="shared" si="0"/>
        <v>-9.8000000000000007</v>
      </c>
    </row>
    <row r="13" spans="1:6">
      <c r="A13" s="3">
        <v>7</v>
      </c>
      <c r="B13" s="3">
        <v>-31.29</v>
      </c>
      <c r="C13" s="3">
        <v>2.1422400000000001</v>
      </c>
      <c r="D13">
        <v>3.28545</v>
      </c>
      <c r="F13">
        <f t="shared" si="0"/>
        <v>-10.5</v>
      </c>
    </row>
    <row r="14" spans="1:6">
      <c r="A14" s="3">
        <v>8</v>
      </c>
      <c r="B14" s="3">
        <v>-30.52</v>
      </c>
      <c r="C14" s="3">
        <v>2.65367</v>
      </c>
      <c r="D14">
        <v>2.8688799999999999</v>
      </c>
      <c r="F14">
        <f t="shared" si="0"/>
        <v>-9.4</v>
      </c>
    </row>
    <row r="15" spans="1:6">
      <c r="A15" s="3">
        <v>9</v>
      </c>
      <c r="B15" s="3">
        <v>-32.590000000000003</v>
      </c>
      <c r="C15" s="3">
        <v>2.3803100000000001</v>
      </c>
      <c r="D15">
        <v>3.35677</v>
      </c>
      <c r="F15">
        <f t="shared" si="0"/>
        <v>-10.299999999999999</v>
      </c>
    </row>
    <row r="16" spans="1:6">
      <c r="A16" s="3">
        <v>10</v>
      </c>
      <c r="B16" s="3">
        <v>-40.700000000000003</v>
      </c>
      <c r="C16" s="3">
        <v>2.42266</v>
      </c>
      <c r="D16">
        <v>4.3142000000000005</v>
      </c>
      <c r="F16">
        <f t="shared" si="0"/>
        <v>-10.600000000000001</v>
      </c>
    </row>
    <row r="17" spans="1:6">
      <c r="A17" s="3">
        <v>11</v>
      </c>
      <c r="B17" s="3">
        <v>-26.82</v>
      </c>
      <c r="C17" s="3">
        <v>1.9218299999999999</v>
      </c>
      <c r="D17">
        <v>2.5747200000000001</v>
      </c>
      <c r="F17">
        <f t="shared" si="0"/>
        <v>-9.6</v>
      </c>
    </row>
    <row r="18" spans="1:6">
      <c r="A18" s="3">
        <v>12</v>
      </c>
      <c r="B18" s="3">
        <v>-25.64</v>
      </c>
      <c r="C18" s="3">
        <v>2.4484599999999999</v>
      </c>
      <c r="D18">
        <v>2.6922000000000001</v>
      </c>
      <c r="F18">
        <f t="shared" si="0"/>
        <v>-10.500000000000002</v>
      </c>
    </row>
    <row r="19" spans="1:6">
      <c r="A19" s="3">
        <v>13</v>
      </c>
      <c r="B19" s="3">
        <v>-26.93</v>
      </c>
      <c r="C19" s="3">
        <v>2.3673999999999999</v>
      </c>
      <c r="D19">
        <v>2.6930000000000001</v>
      </c>
      <c r="F19">
        <f t="shared" si="0"/>
        <v>-10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489E-2CA1-4312-8486-321EBACBE5E7}">
  <dimension ref="A1:F15"/>
  <sheetViews>
    <sheetView tabSelected="1" workbookViewId="0">
      <selection activeCell="H7" sqref="H7"/>
    </sheetView>
  </sheetViews>
  <sheetFormatPr baseColWidth="10" defaultColWidth="8.83203125" defaultRowHeight="16"/>
  <cols>
    <col min="1" max="1" width="12.6640625" customWidth="1"/>
  </cols>
  <sheetData>
    <row r="1" spans="1:6">
      <c r="A1" s="1" t="s">
        <v>11</v>
      </c>
      <c r="B1" s="2"/>
    </row>
    <row r="2" spans="1:6">
      <c r="A2" s="4" t="s">
        <v>9</v>
      </c>
      <c r="B2" s="2"/>
    </row>
    <row r="3" spans="1:6">
      <c r="A3" s="4" t="s">
        <v>2</v>
      </c>
      <c r="B3" s="2"/>
    </row>
    <row r="4" spans="1:6">
      <c r="A4" s="4" t="s">
        <v>3</v>
      </c>
      <c r="B4" s="2"/>
    </row>
    <row r="5" spans="1:6">
      <c r="A5" s="4"/>
      <c r="B5" s="2"/>
    </row>
    <row r="6" spans="1:6">
      <c r="A6" s="2" t="s">
        <v>4</v>
      </c>
      <c r="B6" s="2" t="s">
        <v>5</v>
      </c>
      <c r="C6" s="5" t="s">
        <v>6</v>
      </c>
      <c r="D6" s="5" t="s">
        <v>7</v>
      </c>
    </row>
    <row r="7" spans="1:6">
      <c r="A7" s="3">
        <v>1</v>
      </c>
      <c r="B7" s="3">
        <v>-30.47</v>
      </c>
      <c r="C7" s="3">
        <v>0.88734000000000002</v>
      </c>
      <c r="D7">
        <v>2.9555899999999999</v>
      </c>
      <c r="F7">
        <f>(D7/B7)*100</f>
        <v>-9.7000000000000011</v>
      </c>
    </row>
    <row r="8" spans="1:6">
      <c r="A8" s="3">
        <v>2</v>
      </c>
      <c r="B8" s="3">
        <v>-32.24</v>
      </c>
      <c r="C8" s="3">
        <v>0.98465000000000003</v>
      </c>
      <c r="D8">
        <v>3.0305600000000004</v>
      </c>
      <c r="F8">
        <f t="shared" ref="F8:F19" si="0">(D8/B8)*100</f>
        <v>-9.4</v>
      </c>
    </row>
    <row r="9" spans="1:6">
      <c r="A9" s="3">
        <v>3</v>
      </c>
      <c r="B9" s="3">
        <v>-26.42</v>
      </c>
      <c r="C9" s="3">
        <v>1.0854600000000001</v>
      </c>
      <c r="D9">
        <v>2.5363200000000004</v>
      </c>
      <c r="F9">
        <f t="shared" si="0"/>
        <v>-9.6</v>
      </c>
    </row>
    <row r="10" spans="1:6">
      <c r="A10" s="3">
        <v>4</v>
      </c>
      <c r="B10" s="3">
        <v>-29.25</v>
      </c>
      <c r="C10" s="3">
        <v>0.92301</v>
      </c>
      <c r="D10">
        <v>2.7494999999999998</v>
      </c>
      <c r="F10">
        <f t="shared" si="0"/>
        <v>-9.4</v>
      </c>
    </row>
    <row r="11" spans="1:6">
      <c r="A11" s="3">
        <v>5</v>
      </c>
      <c r="B11" s="3">
        <v>-24.7</v>
      </c>
      <c r="C11" s="3">
        <v>0.88371999999999995</v>
      </c>
      <c r="D11">
        <v>2.5440999999999998</v>
      </c>
      <c r="F11">
        <f t="shared" si="0"/>
        <v>-10.299999999999999</v>
      </c>
    </row>
    <row r="12" spans="1:6">
      <c r="A12" s="3">
        <v>6</v>
      </c>
      <c r="B12" s="3">
        <v>-28.04</v>
      </c>
      <c r="C12" s="3">
        <v>1.2754700000000001</v>
      </c>
      <c r="D12">
        <v>2.60772</v>
      </c>
      <c r="F12">
        <f t="shared" si="0"/>
        <v>-9.3000000000000007</v>
      </c>
    </row>
    <row r="13" spans="1:6">
      <c r="A13" s="3">
        <v>7</v>
      </c>
      <c r="B13" s="3">
        <v>-21.22</v>
      </c>
      <c r="C13" s="3">
        <v>1.17631</v>
      </c>
      <c r="D13">
        <v>2.1432199999999999</v>
      </c>
      <c r="F13">
        <f t="shared" si="0"/>
        <v>-10.100000000000001</v>
      </c>
    </row>
    <row r="14" spans="1:6">
      <c r="A14" s="3">
        <v>8</v>
      </c>
      <c r="B14" s="3">
        <v>-29.97</v>
      </c>
      <c r="C14" s="3">
        <v>1.1492199999999999</v>
      </c>
      <c r="D14">
        <v>2.9670299999999998</v>
      </c>
      <c r="F14">
        <f t="shared" si="0"/>
        <v>-9.9</v>
      </c>
    </row>
    <row r="15" spans="1:6">
      <c r="A15" s="3">
        <v>9</v>
      </c>
      <c r="B15" s="3">
        <v>-30.67</v>
      </c>
      <c r="C15" s="3">
        <v>1.31446</v>
      </c>
      <c r="D15">
        <v>2.9136500000000001</v>
      </c>
      <c r="F15">
        <f t="shared" si="0"/>
        <v>-9.5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PS-X</vt:lpstr>
      <vt:lpstr>PS-Y</vt:lpstr>
      <vt:lpstr>PA-C</vt:lpstr>
      <vt:lpstr>PA-N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 Deng</dc:creator>
  <cp:lastModifiedBy>Xuanming Che</cp:lastModifiedBy>
  <dcterms:created xsi:type="dcterms:W3CDTF">2025-02-15T17:02:02Z</dcterms:created>
  <dcterms:modified xsi:type="dcterms:W3CDTF">2025-03-04T18:01:59Z</dcterms:modified>
</cp:coreProperties>
</file>