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chexuanming/Desktop/大二下/材料学实验2/2-4/"/>
    </mc:Choice>
  </mc:AlternateContent>
  <xr:revisionPtr revIDLastSave="0" documentId="13_ncr:1_{B836780D-CF34-9841-A4C8-EA9C1D5E1E2E}" xr6:coauthVersionLast="47" xr6:coauthVersionMax="47" xr10:uidLastSave="{00000000-0000-0000-0000-000000000000}"/>
  <bookViews>
    <workbookView xWindow="4440" yWindow="3100" windowWidth="25800" windowHeight="15280" xr2:uid="{00000000-000D-0000-FFFF-FFFF00000000}"/>
  </bookViews>
  <sheets>
    <sheet name="Rubber Raw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5" i="1" l="1"/>
  <c r="Q35" i="1"/>
  <c r="E59" i="1"/>
  <c r="F59" i="1"/>
  <c r="G59" i="1"/>
  <c r="H59" i="1"/>
  <c r="I59" i="1"/>
  <c r="J59" i="1"/>
  <c r="K59" i="1"/>
  <c r="L59" i="1"/>
  <c r="M59" i="1"/>
  <c r="D59" i="1"/>
  <c r="E58" i="1"/>
  <c r="F58" i="1"/>
  <c r="G58" i="1"/>
  <c r="H58" i="1"/>
  <c r="I58" i="1"/>
  <c r="J58" i="1"/>
  <c r="K58" i="1"/>
  <c r="L58" i="1"/>
  <c r="M58" i="1"/>
  <c r="D58" i="1"/>
  <c r="M57" i="1"/>
  <c r="L57" i="1"/>
  <c r="K57" i="1"/>
  <c r="J57" i="1"/>
  <c r="I57" i="1"/>
  <c r="H57" i="1"/>
  <c r="G57" i="1"/>
  <c r="F57" i="1"/>
  <c r="E57" i="1"/>
  <c r="D57" i="1"/>
  <c r="M56" i="1"/>
  <c r="M51" i="1"/>
  <c r="L56" i="1"/>
  <c r="L51" i="1"/>
  <c r="L52" i="1" s="1"/>
  <c r="K56" i="1"/>
  <c r="K51" i="1"/>
  <c r="K53" i="1" s="1"/>
  <c r="K54" i="1" s="1"/>
  <c r="J56" i="1"/>
  <c r="J51" i="1"/>
  <c r="I56" i="1"/>
  <c r="I51" i="1"/>
  <c r="H56" i="1"/>
  <c r="H51" i="1"/>
  <c r="G56" i="1"/>
  <c r="G51" i="1"/>
  <c r="F56" i="1"/>
  <c r="F51" i="1"/>
  <c r="E56" i="1"/>
  <c r="E51" i="1"/>
  <c r="D56" i="1"/>
  <c r="P51" i="1"/>
  <c r="D54" i="1"/>
  <c r="G53" i="1"/>
  <c r="G54" i="1" s="1"/>
  <c r="D53" i="1"/>
  <c r="K52" i="1"/>
  <c r="G52" i="1"/>
  <c r="F52" i="1"/>
  <c r="F53" i="1" s="1"/>
  <c r="F54" i="1" s="1"/>
  <c r="D52" i="1"/>
  <c r="O51" i="1"/>
  <c r="D51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M52" i="1" l="1"/>
  <c r="M53" i="1" s="1"/>
  <c r="M54" i="1" s="1"/>
  <c r="L53" i="1"/>
  <c r="L54" i="1" s="1"/>
  <c r="J52" i="1"/>
  <c r="J53" i="1" s="1"/>
  <c r="J54" i="1" s="1"/>
  <c r="I52" i="1"/>
  <c r="I53" i="1" s="1"/>
  <c r="I54" i="1" s="1"/>
  <c r="H53" i="1"/>
  <c r="H54" i="1" s="1"/>
  <c r="H52" i="1"/>
  <c r="E52" i="1"/>
  <c r="E53" i="1" s="1"/>
  <c r="E54" i="1" s="1"/>
</calcChain>
</file>

<file path=xl/sharedStrings.xml><?xml version="1.0" encoding="utf-8"?>
<sst xmlns="http://schemas.openxmlformats.org/spreadsheetml/2006/main" count="311" uniqueCount="57">
  <si>
    <t>QXU5017 EXP2-4 Experimental data</t>
  </si>
  <si>
    <t>Factors</t>
  </si>
  <si>
    <t>Levels</t>
  </si>
  <si>
    <t>+</t>
  </si>
  <si>
    <t>-</t>
  </si>
  <si>
    <t>Temperature</t>
  </si>
  <si>
    <t>A</t>
  </si>
  <si>
    <t>Accelerator</t>
  </si>
  <si>
    <t>B</t>
  </si>
  <si>
    <t>A1</t>
  </si>
  <si>
    <t>A2</t>
  </si>
  <si>
    <t>Sulphur</t>
  </si>
  <si>
    <t>C</t>
  </si>
  <si>
    <t>2 pph</t>
  </si>
  <si>
    <t>4 pph</t>
  </si>
  <si>
    <t>Mould Time</t>
  </si>
  <si>
    <t>D</t>
  </si>
  <si>
    <t>20 min</t>
  </si>
  <si>
    <t>40 min</t>
  </si>
  <si>
    <t>Experimental design</t>
  </si>
  <si>
    <t>Measurements</t>
  </si>
  <si>
    <t xml:space="preserve">Factors </t>
  </si>
  <si>
    <t>Compressive strangth (MPa)</t>
  </si>
  <si>
    <t>Y'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</si>
  <si>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</si>
  <si>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</si>
  <si>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</si>
  <si>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</si>
  <si>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</si>
  <si>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</si>
  <si>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</si>
  <si>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</si>
  <si>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</si>
  <si>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</si>
  <si>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</si>
  <si>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</si>
  <si>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</si>
  <si>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</si>
  <si>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</si>
  <si>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</si>
  <si>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>R</t>
  </si>
  <si>
    <t>R</t>
    <phoneticPr fontId="6" type="noConversion"/>
  </si>
  <si>
    <t>AB</t>
    <phoneticPr fontId="6" type="noConversion"/>
  </si>
  <si>
    <t>AC</t>
    <phoneticPr fontId="6" type="noConversion"/>
  </si>
  <si>
    <t>AD</t>
    <phoneticPr fontId="6" type="noConversion"/>
  </si>
  <si>
    <t>BC</t>
    <phoneticPr fontId="6" type="noConversion"/>
  </si>
  <si>
    <t>BD</t>
    <phoneticPr fontId="6" type="noConversion"/>
  </si>
  <si>
    <t>CD</t>
    <phoneticPr fontId="6" type="noConversion"/>
  </si>
  <si>
    <t>Y'</t>
    <phoneticPr fontId="6" type="noConversion"/>
  </si>
  <si>
    <t>SUM+</t>
    <phoneticPr fontId="6" type="noConversion"/>
  </si>
  <si>
    <t>SUM-</t>
    <phoneticPr fontId="6" type="noConversion"/>
  </si>
  <si>
    <t>Diff</t>
    <phoneticPr fontId="6" type="noConversion"/>
  </si>
  <si>
    <t>Effect</t>
    <phoneticPr fontId="6" type="noConversion"/>
  </si>
  <si>
    <t>R'</t>
    <phoneticPr fontId="6" type="noConversion"/>
  </si>
  <si>
    <t>random variation</t>
    <phoneticPr fontId="6" type="noConversion"/>
  </si>
  <si>
    <t>Experimental design</t>
    <phoneticPr fontId="6" type="noConversion"/>
  </si>
  <si>
    <t>Run 16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</si>
</sst>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* #,##0.00_ ;_ * \-#,##0.00_ ;_ * &quot;-&quot;??_ ;_ @_ "/>
    <numFmt numFmtId="177" formatCode="0.0000"/>
  </numFmts>
  <fonts count="7">
    <font>
      <sz val="11"/>
      <color theme="1"/>
      <name val="等线"/>
      <charset val="134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Meiryo"/>
      <charset val="128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176" fontId="5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76" fontId="1" fillId="0" borderId="0" xfId="1" applyFont="1" applyAlignment="1">
      <alignment horizontal="center"/>
    </xf>
    <xf numFmtId="0" fontId="1" fillId="0" borderId="3" xfId="0" applyFont="1" applyBorder="1" applyAlignment="1">
      <alignment horizontal="center"/>
    </xf>
    <xf numFmtId="177" fontId="1" fillId="0" borderId="0" xfId="0" applyNumberFormat="1" applyFont="1" applyAlignment="1">
      <alignment horizontal="center"/>
    </xf>
    <xf numFmtId="177" fontId="1" fillId="2" borderId="0" xfId="0" applyNumberFormat="1" applyFont="1" applyFill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9"/>
  <sheetViews>
    <sheetView tabSelected="1" zoomScaleNormal="90" workbookViewId="0">
      <selection activeCell="I51" sqref="I51:I52"/>
    </sheetView>
  </sheetViews>
  <sheetFormatPr baseColWidth="10" defaultColWidth="9" defaultRowHeight="15"/>
  <cols>
    <col min="1" max="1" width="12.33203125" style="3" customWidth="1"/>
    <col min="2" max="3" width="9" style="3"/>
    <col min="4" max="4" width="13" style="3" customWidth="1"/>
    <col min="5" max="5" width="12.6640625" style="3" customWidth="1"/>
    <col min="6" max="6" width="10.6640625" style="3" customWidth="1"/>
    <col min="7" max="7" width="12.1640625" style="3" customWidth="1"/>
    <col min="8" max="8" width="13.5" style="3" customWidth="1"/>
    <col min="9" max="9" width="14" style="3" customWidth="1"/>
    <col min="10" max="10" width="13.33203125" style="3" customWidth="1"/>
    <col min="11" max="11" width="9.33203125" style="3" customWidth="1"/>
    <col min="12" max="12" width="7.6640625" style="3" customWidth="1"/>
    <col min="13" max="13" width="8.5" style="3" customWidth="1"/>
    <col min="14" max="14" width="9" style="3"/>
    <col min="15" max="15" width="9.5" style="3" bestFit="1" customWidth="1"/>
    <col min="16" max="17" width="9" style="3"/>
    <col min="18" max="18" width="16.1640625" style="3" customWidth="1"/>
    <col min="19" max="16384" width="9" style="3"/>
  </cols>
  <sheetData>
    <row r="1" spans="1:12" ht="19">
      <c r="A1" s="2" t="s">
        <v>0</v>
      </c>
    </row>
    <row r="2" spans="1:12" ht="19">
      <c r="A2" s="2"/>
    </row>
    <row r="3" spans="1:12" ht="15" customHeight="1">
      <c r="A3" s="14" t="s">
        <v>1</v>
      </c>
      <c r="B3" s="15"/>
      <c r="C3" s="10" t="s">
        <v>2</v>
      </c>
      <c r="D3" s="10"/>
    </row>
    <row r="4" spans="1:12" ht="19">
      <c r="A4" s="16"/>
      <c r="B4" s="17"/>
      <c r="C4" s="1" t="s">
        <v>3</v>
      </c>
      <c r="D4" s="1" t="s">
        <v>4</v>
      </c>
      <c r="H4" s="4"/>
    </row>
    <row r="5" spans="1:12" ht="15" customHeight="1">
      <c r="A5" s="1" t="s">
        <v>5</v>
      </c>
      <c r="B5" s="1" t="s">
        <v>6</v>
      </c>
      <c r="C5" s="1">
        <v>155</v>
      </c>
      <c r="D5" s="1">
        <v>170</v>
      </c>
    </row>
    <row r="6" spans="1:12" ht="15" customHeight="1">
      <c r="A6" s="1" t="s">
        <v>7</v>
      </c>
      <c r="B6" s="1" t="s">
        <v>8</v>
      </c>
      <c r="C6" s="1" t="s">
        <v>9</v>
      </c>
      <c r="D6" s="1" t="s">
        <v>10</v>
      </c>
    </row>
    <row r="7" spans="1:12" ht="15" customHeight="1">
      <c r="A7" s="1" t="s">
        <v>11</v>
      </c>
      <c r="B7" s="1" t="s">
        <v>12</v>
      </c>
      <c r="C7" s="1" t="s">
        <v>13</v>
      </c>
      <c r="D7" s="1" t="s">
        <v>14</v>
      </c>
    </row>
    <row r="8" spans="1:12" ht="15" customHeight="1">
      <c r="A8" s="1" t="s">
        <v>15</v>
      </c>
      <c r="B8" s="1" t="s">
        <v>16</v>
      </c>
      <c r="C8" s="1" t="s">
        <v>17</v>
      </c>
      <c r="D8" s="1" t="s">
        <v>18</v>
      </c>
    </row>
    <row r="9" spans="1:12" ht="15" customHeight="1"/>
    <row r="10" spans="1:12" ht="15" customHeight="1"/>
    <row r="11" spans="1:12">
      <c r="A11" s="5" t="s">
        <v>55</v>
      </c>
      <c r="G11" s="5" t="s">
        <v>20</v>
      </c>
    </row>
    <row r="12" spans="1:12">
      <c r="B12" s="5" t="s">
        <v>21</v>
      </c>
      <c r="G12" s="5" t="s">
        <v>22</v>
      </c>
    </row>
    <row r="13" spans="1:12" ht="16">
      <c r="A13" s="1"/>
      <c r="B13" s="1" t="s">
        <v>6</v>
      </c>
      <c r="C13" s="1" t="s">
        <v>8</v>
      </c>
      <c r="D13" s="1" t="s">
        <v>12</v>
      </c>
      <c r="E13" s="1" t="s">
        <v>16</v>
      </c>
      <c r="F13" s="11"/>
      <c r="G13" s="1">
        <v>1</v>
      </c>
      <c r="H13" s="1">
        <v>2</v>
      </c>
      <c r="I13" s="1">
        <v>3</v>
      </c>
      <c r="K13" s="6" t="s">
        <v>23</v>
      </c>
      <c r="L13" s="3" t="s">
        <v>41</v>
      </c>
    </row>
    <row r="14" spans="1:12" ht="16">
      <c r="A14" s="1" t="s">
        <v>24</v>
      </c>
      <c r="B14" s="1" t="s">
        <v>3</v>
      </c>
      <c r="C14" s="1" t="s">
        <v>3</v>
      </c>
      <c r="D14" s="1" t="s">
        <v>3</v>
      </c>
      <c r="E14" s="1" t="s">
        <v>3</v>
      </c>
      <c r="F14" s="12"/>
      <c r="G14" s="1">
        <v>1.1499999999999999</v>
      </c>
      <c r="H14" s="1">
        <v>1.22</v>
      </c>
      <c r="I14" s="1">
        <v>1.1200000000000001</v>
      </c>
      <c r="K14" s="6">
        <f>AVERAGE(G14:I14)</f>
        <v>1.16333333333333</v>
      </c>
      <c r="L14" s="3">
        <f>H14-I14</f>
        <v>9.9999999999999867E-2</v>
      </c>
    </row>
    <row r="15" spans="1:12" ht="16">
      <c r="A15" s="1" t="s">
        <v>25</v>
      </c>
      <c r="B15" s="1" t="s">
        <v>4</v>
      </c>
      <c r="C15" s="1" t="s">
        <v>3</v>
      </c>
      <c r="D15" s="1" t="s">
        <v>3</v>
      </c>
      <c r="E15" s="1" t="s">
        <v>3</v>
      </c>
      <c r="F15" s="12"/>
      <c r="G15" s="1">
        <v>0.73</v>
      </c>
      <c r="H15" s="1">
        <v>0.74</v>
      </c>
      <c r="I15" s="1">
        <v>0.69</v>
      </c>
      <c r="K15" s="6">
        <f t="shared" ref="K15:K29" si="0">AVERAGE(G15:I15)</f>
        <v>0.72</v>
      </c>
      <c r="L15" s="3">
        <f>H15-I15</f>
        <v>5.0000000000000044E-2</v>
      </c>
    </row>
    <row r="16" spans="1:12" ht="16">
      <c r="A16" s="1" t="s">
        <v>26</v>
      </c>
      <c r="B16" s="1" t="s">
        <v>3</v>
      </c>
      <c r="C16" s="1" t="s">
        <v>4</v>
      </c>
      <c r="D16" s="1" t="s">
        <v>3</v>
      </c>
      <c r="E16" s="1" t="s">
        <v>3</v>
      </c>
      <c r="F16" s="12"/>
      <c r="G16" s="1">
        <v>1.33</v>
      </c>
      <c r="H16" s="1">
        <v>1.25</v>
      </c>
      <c r="I16" s="1">
        <v>1.22</v>
      </c>
      <c r="K16" s="6">
        <f t="shared" si="0"/>
        <v>1.2666666666666699</v>
      </c>
      <c r="L16" s="3">
        <f>G16-I16</f>
        <v>0.1100000000000001</v>
      </c>
    </row>
    <row r="17" spans="1:12" ht="16">
      <c r="A17" s="1" t="s">
        <v>27</v>
      </c>
      <c r="B17" s="1" t="s">
        <v>4</v>
      </c>
      <c r="C17" s="1" t="s">
        <v>4</v>
      </c>
      <c r="D17" s="1" t="s">
        <v>3</v>
      </c>
      <c r="E17" s="1" t="s">
        <v>3</v>
      </c>
      <c r="F17" s="12"/>
      <c r="G17" s="1">
        <v>1.1599999999999999</v>
      </c>
      <c r="H17" s="1">
        <v>1.06</v>
      </c>
      <c r="I17" s="1">
        <v>1.03</v>
      </c>
      <c r="K17" s="6">
        <f t="shared" si="0"/>
        <v>1.0833333333333299</v>
      </c>
      <c r="L17" s="3">
        <f>G17-I17</f>
        <v>0.12999999999999989</v>
      </c>
    </row>
    <row r="18" spans="1:12" ht="16">
      <c r="A18" s="1" t="s">
        <v>28</v>
      </c>
      <c r="B18" s="1" t="s">
        <v>3</v>
      </c>
      <c r="C18" s="1" t="s">
        <v>3</v>
      </c>
      <c r="D18" s="1" t="s">
        <v>4</v>
      </c>
      <c r="E18" s="1" t="s">
        <v>3</v>
      </c>
      <c r="F18" s="12"/>
      <c r="G18" s="1">
        <v>0.75</v>
      </c>
      <c r="H18" s="1">
        <v>0.71</v>
      </c>
      <c r="I18" s="1">
        <v>0.72</v>
      </c>
      <c r="K18" s="6">
        <f t="shared" si="0"/>
        <v>0.72666666666666702</v>
      </c>
      <c r="L18" s="3">
        <f>G18-H18</f>
        <v>4.0000000000000036E-2</v>
      </c>
    </row>
    <row r="19" spans="1:12" ht="16">
      <c r="A19" s="1" t="s">
        <v>29</v>
      </c>
      <c r="B19" s="1" t="s">
        <v>4</v>
      </c>
      <c r="C19" s="1" t="s">
        <v>3</v>
      </c>
      <c r="D19" s="1" t="s">
        <v>4</v>
      </c>
      <c r="E19" s="1" t="s">
        <v>3</v>
      </c>
      <c r="F19" s="12"/>
      <c r="G19" s="1">
        <v>1.35</v>
      </c>
      <c r="H19" s="1">
        <v>1.5</v>
      </c>
      <c r="I19" s="1">
        <v>1.47</v>
      </c>
      <c r="K19" s="6">
        <f t="shared" si="0"/>
        <v>1.44</v>
      </c>
      <c r="L19" s="3">
        <f>H19-G19</f>
        <v>0.14999999999999991</v>
      </c>
    </row>
    <row r="20" spans="1:12" ht="16">
      <c r="A20" s="1" t="s">
        <v>30</v>
      </c>
      <c r="B20" s="1" t="s">
        <v>3</v>
      </c>
      <c r="C20" s="1" t="s">
        <v>4</v>
      </c>
      <c r="D20" s="1" t="s">
        <v>4</v>
      </c>
      <c r="E20" s="1" t="s">
        <v>3</v>
      </c>
      <c r="F20" s="12"/>
      <c r="G20" s="1">
        <v>0.66</v>
      </c>
      <c r="H20" s="1">
        <v>0.69</v>
      </c>
      <c r="I20" s="1">
        <v>0.74</v>
      </c>
      <c r="K20" s="6">
        <f t="shared" si="0"/>
        <v>0.69666666666666699</v>
      </c>
      <c r="L20" s="3">
        <f>I20-G20</f>
        <v>7.999999999999996E-2</v>
      </c>
    </row>
    <row r="21" spans="1:12" ht="16">
      <c r="A21" s="1" t="s">
        <v>31</v>
      </c>
      <c r="B21" s="1" t="s">
        <v>4</v>
      </c>
      <c r="C21" s="1" t="s">
        <v>4</v>
      </c>
      <c r="D21" s="1" t="s">
        <v>4</v>
      </c>
      <c r="E21" s="1" t="s">
        <v>3</v>
      </c>
      <c r="F21" s="12"/>
      <c r="G21" s="1">
        <v>1.5</v>
      </c>
      <c r="H21" s="1">
        <v>1.46</v>
      </c>
      <c r="I21" s="1">
        <v>1.48</v>
      </c>
      <c r="K21" s="6">
        <f t="shared" si="0"/>
        <v>1.48</v>
      </c>
      <c r="L21" s="3">
        <f>G21-H21</f>
        <v>4.0000000000000036E-2</v>
      </c>
    </row>
    <row r="22" spans="1:12" ht="16">
      <c r="A22" s="1" t="s">
        <v>32</v>
      </c>
      <c r="B22" s="1" t="s">
        <v>3</v>
      </c>
      <c r="C22" s="1" t="s">
        <v>3</v>
      </c>
      <c r="D22" s="1" t="s">
        <v>3</v>
      </c>
      <c r="E22" s="1" t="s">
        <v>4</v>
      </c>
      <c r="F22" s="12"/>
      <c r="G22" s="1">
        <v>1.1299999999999999</v>
      </c>
      <c r="H22" s="1">
        <v>1.22</v>
      </c>
      <c r="I22" s="1">
        <v>1.17</v>
      </c>
      <c r="K22" s="6">
        <f t="shared" si="0"/>
        <v>1.17333333333333</v>
      </c>
      <c r="L22" s="3">
        <f>H22-G22</f>
        <v>9.000000000000008E-2</v>
      </c>
    </row>
    <row r="23" spans="1:12" ht="16">
      <c r="A23" s="1" t="s">
        <v>33</v>
      </c>
      <c r="B23" s="1" t="s">
        <v>4</v>
      </c>
      <c r="C23" s="1" t="s">
        <v>3</v>
      </c>
      <c r="D23" s="1" t="s">
        <v>3</v>
      </c>
      <c r="E23" s="1" t="s">
        <v>4</v>
      </c>
      <c r="F23" s="12"/>
      <c r="G23" s="1">
        <v>0.71</v>
      </c>
      <c r="H23" s="1">
        <v>0.69</v>
      </c>
      <c r="I23" s="1">
        <v>0.74</v>
      </c>
      <c r="K23" s="6">
        <f t="shared" si="0"/>
        <v>0.71333333333333304</v>
      </c>
      <c r="L23" s="3">
        <f>I23-H23</f>
        <v>5.0000000000000044E-2</v>
      </c>
    </row>
    <row r="24" spans="1:12" ht="16">
      <c r="A24" s="1" t="s">
        <v>34</v>
      </c>
      <c r="B24" s="1" t="s">
        <v>3</v>
      </c>
      <c r="C24" s="1" t="s">
        <v>4</v>
      </c>
      <c r="D24" s="1" t="s">
        <v>3</v>
      </c>
      <c r="E24" s="1" t="s">
        <v>4</v>
      </c>
      <c r="F24" s="12"/>
      <c r="G24" s="1">
        <v>1.31</v>
      </c>
      <c r="H24" s="1">
        <v>1.26</v>
      </c>
      <c r="I24" s="1">
        <v>1.23</v>
      </c>
      <c r="K24" s="6">
        <f t="shared" si="0"/>
        <v>1.2666666666666699</v>
      </c>
      <c r="L24" s="3">
        <f>G24-I24</f>
        <v>8.0000000000000071E-2</v>
      </c>
    </row>
    <row r="25" spans="1:12" ht="16">
      <c r="A25" s="1" t="s">
        <v>35</v>
      </c>
      <c r="B25" s="1" t="s">
        <v>4</v>
      </c>
      <c r="C25" s="1" t="s">
        <v>4</v>
      </c>
      <c r="D25" s="1" t="s">
        <v>3</v>
      </c>
      <c r="E25" s="1" t="s">
        <v>4</v>
      </c>
      <c r="F25" s="12"/>
      <c r="G25" s="1">
        <v>1.1499999999999999</v>
      </c>
      <c r="H25" s="1">
        <v>1.0900000000000001</v>
      </c>
      <c r="I25" s="1">
        <v>1.06</v>
      </c>
      <c r="K25" s="6">
        <f t="shared" si="0"/>
        <v>1.1000000000000001</v>
      </c>
      <c r="L25" s="3">
        <f>G25-I25</f>
        <v>8.9999999999999858E-2</v>
      </c>
    </row>
    <row r="26" spans="1:12" ht="16">
      <c r="A26" s="1" t="s">
        <v>36</v>
      </c>
      <c r="B26" s="1" t="s">
        <v>3</v>
      </c>
      <c r="C26" s="1" t="s">
        <v>3</v>
      </c>
      <c r="D26" s="1" t="s">
        <v>4</v>
      </c>
      <c r="E26" s="1" t="s">
        <v>4</v>
      </c>
      <c r="F26" s="12"/>
      <c r="G26" s="1">
        <v>0.7</v>
      </c>
      <c r="H26" s="1">
        <v>0.73</v>
      </c>
      <c r="I26" s="1">
        <v>0.74</v>
      </c>
      <c r="K26" s="6">
        <f t="shared" si="0"/>
        <v>0.72333333333333305</v>
      </c>
      <c r="L26" s="3">
        <f>I26-G26</f>
        <v>4.0000000000000036E-2</v>
      </c>
    </row>
    <row r="27" spans="1:12" ht="16">
      <c r="A27" s="1" t="s">
        <v>37</v>
      </c>
      <c r="B27" s="1" t="s">
        <v>4</v>
      </c>
      <c r="C27" s="1" t="s">
        <v>3</v>
      </c>
      <c r="D27" s="1" t="s">
        <v>4</v>
      </c>
      <c r="E27" s="1" t="s">
        <v>4</v>
      </c>
      <c r="F27" s="12"/>
      <c r="G27" s="1">
        <v>1.51</v>
      </c>
      <c r="H27" s="1">
        <v>1.33</v>
      </c>
      <c r="I27" s="1">
        <v>1.46</v>
      </c>
      <c r="K27" s="6">
        <f t="shared" si="0"/>
        <v>1.43333333333333</v>
      </c>
      <c r="L27" s="3">
        <f>G27-H27</f>
        <v>0.17999999999999994</v>
      </c>
    </row>
    <row r="28" spans="1:12" ht="16">
      <c r="A28" s="1" t="s">
        <v>38</v>
      </c>
      <c r="B28" s="1" t="s">
        <v>3</v>
      </c>
      <c r="C28" s="1" t="s">
        <v>4</v>
      </c>
      <c r="D28" s="1" t="s">
        <v>4</v>
      </c>
      <c r="E28" s="1" t="s">
        <v>4</v>
      </c>
      <c r="F28" s="12"/>
      <c r="G28" s="1">
        <v>0.7</v>
      </c>
      <c r="H28" s="1">
        <v>0.74</v>
      </c>
      <c r="I28" s="1">
        <v>0.66</v>
      </c>
      <c r="K28" s="6">
        <f t="shared" si="0"/>
        <v>0.7</v>
      </c>
      <c r="L28" s="3">
        <f>H28-I28</f>
        <v>7.999999999999996E-2</v>
      </c>
    </row>
    <row r="29" spans="1:12" ht="16">
      <c r="A29" s="1" t="s">
        <v>56</v>
      </c>
      <c r="B29" s="1" t="s">
        <v>4</v>
      </c>
      <c r="C29" s="1" t="s">
        <v>4</v>
      </c>
      <c r="D29" s="1" t="s">
        <v>4</v>
      </c>
      <c r="E29" s="1" t="s">
        <v>4</v>
      </c>
      <c r="F29" s="13"/>
      <c r="G29" s="1">
        <v>1.51</v>
      </c>
      <c r="H29" s="1">
        <v>1.49</v>
      </c>
      <c r="I29" s="1">
        <v>1.46</v>
      </c>
      <c r="K29" s="6">
        <f t="shared" si="0"/>
        <v>1.4866666666666699</v>
      </c>
      <c r="L29" s="3">
        <f>G29-I29</f>
        <v>5.0000000000000044E-2</v>
      </c>
    </row>
    <row r="32" spans="1:12">
      <c r="C32" s="5" t="s">
        <v>19</v>
      </c>
    </row>
    <row r="33" spans="3:18">
      <c r="D33" s="5" t="s">
        <v>21</v>
      </c>
    </row>
    <row r="34" spans="3:18" ht="16">
      <c r="C34" s="1"/>
      <c r="D34" s="1" t="s">
        <v>6</v>
      </c>
      <c r="E34" s="1" t="s">
        <v>8</v>
      </c>
      <c r="F34" s="1" t="s">
        <v>12</v>
      </c>
      <c r="G34" s="1" t="s">
        <v>16</v>
      </c>
      <c r="H34" s="7" t="s">
        <v>42</v>
      </c>
      <c r="I34" s="7" t="s">
        <v>43</v>
      </c>
      <c r="J34" s="7" t="s">
        <v>44</v>
      </c>
      <c r="K34" s="7" t="s">
        <v>45</v>
      </c>
      <c r="L34" s="7" t="s">
        <v>46</v>
      </c>
      <c r="M34" s="7" t="s">
        <v>47</v>
      </c>
      <c r="O34" s="3" t="s">
        <v>23</v>
      </c>
      <c r="P34" s="3" t="s">
        <v>40</v>
      </c>
      <c r="Q34" s="3" t="s">
        <v>53</v>
      </c>
      <c r="R34" s="3" t="s">
        <v>54</v>
      </c>
    </row>
    <row r="35" spans="3:18" ht="16">
      <c r="C35" s="1" t="s">
        <v>24</v>
      </c>
      <c r="D35" s="1" t="s">
        <v>3</v>
      </c>
      <c r="E35" s="1" t="s">
        <v>3</v>
      </c>
      <c r="F35" s="1" t="s">
        <v>3</v>
      </c>
      <c r="G35" s="1" t="s">
        <v>3</v>
      </c>
      <c r="H35" s="1" t="s">
        <v>3</v>
      </c>
      <c r="I35" s="1" t="s">
        <v>3</v>
      </c>
      <c r="J35" s="1" t="s">
        <v>3</v>
      </c>
      <c r="K35" s="1" t="s">
        <v>3</v>
      </c>
      <c r="L35" s="1" t="s">
        <v>3</v>
      </c>
      <c r="M35" s="1" t="s">
        <v>3</v>
      </c>
      <c r="O35" s="8">
        <v>1.16333333333333</v>
      </c>
      <c r="P35" s="8">
        <v>9.9999999999999867E-2</v>
      </c>
      <c r="Q35" s="8">
        <f>AVERAGE(P35:P50)</f>
        <v>8.4999999999999978E-2</v>
      </c>
      <c r="R35" s="3">
        <f>(Q35*2)/8</f>
        <v>2.1249999999999995E-2</v>
      </c>
    </row>
    <row r="36" spans="3:18" ht="16">
      <c r="C36" s="1" t="s">
        <v>25</v>
      </c>
      <c r="D36" s="1" t="s">
        <v>4</v>
      </c>
      <c r="E36" s="1" t="s">
        <v>3</v>
      </c>
      <c r="F36" s="1" t="s">
        <v>3</v>
      </c>
      <c r="G36" s="1" t="s">
        <v>3</v>
      </c>
      <c r="H36" s="1" t="s">
        <v>4</v>
      </c>
      <c r="I36" s="1" t="s">
        <v>4</v>
      </c>
      <c r="J36" s="1" t="s">
        <v>4</v>
      </c>
      <c r="K36" s="1" t="s">
        <v>3</v>
      </c>
      <c r="L36" s="1" t="s">
        <v>3</v>
      </c>
      <c r="M36" s="1" t="s">
        <v>3</v>
      </c>
      <c r="O36" s="8">
        <v>0.72</v>
      </c>
      <c r="P36" s="8">
        <v>5.0000000000000044E-2</v>
      </c>
    </row>
    <row r="37" spans="3:18" ht="16">
      <c r="C37" s="1" t="s">
        <v>26</v>
      </c>
      <c r="D37" s="1" t="s">
        <v>3</v>
      </c>
      <c r="E37" s="1" t="s">
        <v>4</v>
      </c>
      <c r="F37" s="1" t="s">
        <v>3</v>
      </c>
      <c r="G37" s="1" t="s">
        <v>3</v>
      </c>
      <c r="H37" s="1" t="s">
        <v>4</v>
      </c>
      <c r="I37" s="1" t="s">
        <v>3</v>
      </c>
      <c r="J37" s="1" t="s">
        <v>3</v>
      </c>
      <c r="K37" s="1" t="s">
        <v>4</v>
      </c>
      <c r="L37" s="1" t="s">
        <v>4</v>
      </c>
      <c r="M37" s="1" t="s">
        <v>3</v>
      </c>
      <c r="O37" s="8">
        <v>1.2666666666666699</v>
      </c>
      <c r="P37" s="8">
        <v>0.1100000000000001</v>
      </c>
    </row>
    <row r="38" spans="3:18" ht="16">
      <c r="C38" s="1" t="s">
        <v>27</v>
      </c>
      <c r="D38" s="1" t="s">
        <v>4</v>
      </c>
      <c r="E38" s="1" t="s">
        <v>4</v>
      </c>
      <c r="F38" s="1" t="s">
        <v>3</v>
      </c>
      <c r="G38" s="1" t="s">
        <v>3</v>
      </c>
      <c r="H38" s="1" t="s">
        <v>3</v>
      </c>
      <c r="I38" s="1" t="s">
        <v>4</v>
      </c>
      <c r="J38" s="1" t="s">
        <v>4</v>
      </c>
      <c r="K38" s="1" t="s">
        <v>4</v>
      </c>
      <c r="L38" s="1" t="s">
        <v>4</v>
      </c>
      <c r="M38" s="1" t="s">
        <v>3</v>
      </c>
      <c r="O38" s="8">
        <v>1.0833333333333299</v>
      </c>
      <c r="P38" s="8">
        <v>0.12999999999999989</v>
      </c>
    </row>
    <row r="39" spans="3:18" ht="16">
      <c r="C39" s="1" t="s">
        <v>28</v>
      </c>
      <c r="D39" s="1" t="s">
        <v>3</v>
      </c>
      <c r="E39" s="1" t="s">
        <v>3</v>
      </c>
      <c r="F39" s="1" t="s">
        <v>4</v>
      </c>
      <c r="G39" s="1" t="s">
        <v>3</v>
      </c>
      <c r="H39" s="1" t="s">
        <v>3</v>
      </c>
      <c r="I39" s="1" t="s">
        <v>4</v>
      </c>
      <c r="J39" s="1" t="s">
        <v>3</v>
      </c>
      <c r="K39" s="1" t="s">
        <v>4</v>
      </c>
      <c r="L39" s="1" t="s">
        <v>3</v>
      </c>
      <c r="M39" s="1" t="s">
        <v>4</v>
      </c>
      <c r="O39" s="8">
        <v>0.72666666666666702</v>
      </c>
      <c r="P39" s="8">
        <v>4.0000000000000036E-2</v>
      </c>
    </row>
    <row r="40" spans="3:18" ht="16">
      <c r="C40" s="1" t="s">
        <v>29</v>
      </c>
      <c r="D40" s="1" t="s">
        <v>4</v>
      </c>
      <c r="E40" s="1" t="s">
        <v>3</v>
      </c>
      <c r="F40" s="1" t="s">
        <v>4</v>
      </c>
      <c r="G40" s="1" t="s">
        <v>3</v>
      </c>
      <c r="H40" s="1" t="s">
        <v>4</v>
      </c>
      <c r="I40" s="1" t="s">
        <v>3</v>
      </c>
      <c r="J40" s="1" t="s">
        <v>4</v>
      </c>
      <c r="K40" s="1" t="s">
        <v>4</v>
      </c>
      <c r="L40" s="1" t="s">
        <v>3</v>
      </c>
      <c r="M40" s="1" t="s">
        <v>4</v>
      </c>
      <c r="O40" s="8">
        <v>1.44</v>
      </c>
      <c r="P40" s="8">
        <v>0.14999999999999991</v>
      </c>
    </row>
    <row r="41" spans="3:18" ht="16">
      <c r="C41" s="1" t="s">
        <v>30</v>
      </c>
      <c r="D41" s="1" t="s">
        <v>3</v>
      </c>
      <c r="E41" s="1" t="s">
        <v>4</v>
      </c>
      <c r="F41" s="1" t="s">
        <v>4</v>
      </c>
      <c r="G41" s="1" t="s">
        <v>3</v>
      </c>
      <c r="H41" s="1" t="s">
        <v>4</v>
      </c>
      <c r="I41" s="1" t="s">
        <v>4</v>
      </c>
      <c r="J41" s="1" t="s">
        <v>3</v>
      </c>
      <c r="K41" s="1" t="s">
        <v>3</v>
      </c>
      <c r="L41" s="1" t="s">
        <v>4</v>
      </c>
      <c r="M41" s="1" t="s">
        <v>4</v>
      </c>
      <c r="O41" s="8">
        <v>0.69666666666666699</v>
      </c>
      <c r="P41" s="8">
        <v>7.999999999999996E-2</v>
      </c>
    </row>
    <row r="42" spans="3:18" ht="16">
      <c r="C42" s="1" t="s">
        <v>31</v>
      </c>
      <c r="D42" s="1" t="s">
        <v>4</v>
      </c>
      <c r="E42" s="1" t="s">
        <v>4</v>
      </c>
      <c r="F42" s="1" t="s">
        <v>4</v>
      </c>
      <c r="G42" s="1" t="s">
        <v>3</v>
      </c>
      <c r="H42" s="1" t="s">
        <v>3</v>
      </c>
      <c r="I42" s="1" t="s">
        <v>3</v>
      </c>
      <c r="J42" s="1" t="s">
        <v>4</v>
      </c>
      <c r="K42" s="1" t="s">
        <v>3</v>
      </c>
      <c r="L42" s="1" t="s">
        <v>4</v>
      </c>
      <c r="M42" s="1" t="s">
        <v>4</v>
      </c>
      <c r="O42" s="8">
        <v>1.48</v>
      </c>
      <c r="P42" s="8">
        <v>4.0000000000000036E-2</v>
      </c>
    </row>
    <row r="43" spans="3:18" ht="16">
      <c r="C43" s="1" t="s">
        <v>32</v>
      </c>
      <c r="D43" s="1" t="s">
        <v>3</v>
      </c>
      <c r="E43" s="1" t="s">
        <v>3</v>
      </c>
      <c r="F43" s="1" t="s">
        <v>3</v>
      </c>
      <c r="G43" s="1" t="s">
        <v>4</v>
      </c>
      <c r="H43" s="1" t="s">
        <v>3</v>
      </c>
      <c r="I43" s="1" t="s">
        <v>3</v>
      </c>
      <c r="J43" s="1" t="s">
        <v>4</v>
      </c>
      <c r="K43" s="1" t="s">
        <v>3</v>
      </c>
      <c r="L43" s="1" t="s">
        <v>4</v>
      </c>
      <c r="M43" s="1" t="s">
        <v>4</v>
      </c>
      <c r="O43" s="8">
        <v>1.17333333333333</v>
      </c>
      <c r="P43" s="8">
        <v>9.000000000000008E-2</v>
      </c>
    </row>
    <row r="44" spans="3:18" ht="16">
      <c r="C44" s="1" t="s">
        <v>33</v>
      </c>
      <c r="D44" s="1" t="s">
        <v>4</v>
      </c>
      <c r="E44" s="1" t="s">
        <v>3</v>
      </c>
      <c r="F44" s="1" t="s">
        <v>3</v>
      </c>
      <c r="G44" s="1" t="s">
        <v>4</v>
      </c>
      <c r="H44" s="1" t="s">
        <v>4</v>
      </c>
      <c r="I44" s="1" t="s">
        <v>4</v>
      </c>
      <c r="J44" s="1" t="s">
        <v>3</v>
      </c>
      <c r="K44" s="1" t="s">
        <v>3</v>
      </c>
      <c r="L44" s="1" t="s">
        <v>4</v>
      </c>
      <c r="M44" s="1" t="s">
        <v>4</v>
      </c>
      <c r="O44" s="8">
        <v>0.71333333333333304</v>
      </c>
      <c r="P44" s="8">
        <v>5.0000000000000044E-2</v>
      </c>
    </row>
    <row r="45" spans="3:18" ht="16">
      <c r="C45" s="1" t="s">
        <v>34</v>
      </c>
      <c r="D45" s="1" t="s">
        <v>3</v>
      </c>
      <c r="E45" s="1" t="s">
        <v>4</v>
      </c>
      <c r="F45" s="1" t="s">
        <v>3</v>
      </c>
      <c r="G45" s="1" t="s">
        <v>4</v>
      </c>
      <c r="H45" s="1" t="s">
        <v>4</v>
      </c>
      <c r="I45" s="1" t="s">
        <v>3</v>
      </c>
      <c r="J45" s="1" t="s">
        <v>4</v>
      </c>
      <c r="K45" s="1" t="s">
        <v>4</v>
      </c>
      <c r="L45" s="1" t="s">
        <v>3</v>
      </c>
      <c r="M45" s="1" t="s">
        <v>4</v>
      </c>
      <c r="O45" s="8">
        <v>1.2666666666666699</v>
      </c>
      <c r="P45" s="8">
        <v>8.0000000000000071E-2</v>
      </c>
    </row>
    <row r="46" spans="3:18" ht="16">
      <c r="C46" s="1" t="s">
        <v>35</v>
      </c>
      <c r="D46" s="1" t="s">
        <v>4</v>
      </c>
      <c r="E46" s="1" t="s">
        <v>4</v>
      </c>
      <c r="F46" s="1" t="s">
        <v>3</v>
      </c>
      <c r="G46" s="1" t="s">
        <v>4</v>
      </c>
      <c r="H46" s="1" t="s">
        <v>3</v>
      </c>
      <c r="I46" s="1" t="s">
        <v>4</v>
      </c>
      <c r="J46" s="1" t="s">
        <v>3</v>
      </c>
      <c r="K46" s="1" t="s">
        <v>4</v>
      </c>
      <c r="L46" s="1" t="s">
        <v>3</v>
      </c>
      <c r="M46" s="1" t="s">
        <v>4</v>
      </c>
      <c r="O46" s="8">
        <v>1.1000000000000001</v>
      </c>
      <c r="P46" s="8">
        <v>8.9999999999999858E-2</v>
      </c>
    </row>
    <row r="47" spans="3:18" ht="16">
      <c r="C47" s="1" t="s">
        <v>36</v>
      </c>
      <c r="D47" s="1" t="s">
        <v>3</v>
      </c>
      <c r="E47" s="1" t="s">
        <v>3</v>
      </c>
      <c r="F47" s="1" t="s">
        <v>4</v>
      </c>
      <c r="G47" s="1" t="s">
        <v>4</v>
      </c>
      <c r="H47" s="1" t="s">
        <v>3</v>
      </c>
      <c r="I47" s="1" t="s">
        <v>4</v>
      </c>
      <c r="J47" s="1" t="s">
        <v>4</v>
      </c>
      <c r="K47" s="1" t="s">
        <v>4</v>
      </c>
      <c r="L47" s="1" t="s">
        <v>4</v>
      </c>
      <c r="M47" s="1" t="s">
        <v>3</v>
      </c>
      <c r="O47" s="8">
        <v>0.72333333333333305</v>
      </c>
      <c r="P47" s="8">
        <v>4.0000000000000036E-2</v>
      </c>
    </row>
    <row r="48" spans="3:18" ht="16">
      <c r="C48" s="1" t="s">
        <v>37</v>
      </c>
      <c r="D48" s="1" t="s">
        <v>4</v>
      </c>
      <c r="E48" s="1" t="s">
        <v>3</v>
      </c>
      <c r="F48" s="1" t="s">
        <v>4</v>
      </c>
      <c r="G48" s="1" t="s">
        <v>4</v>
      </c>
      <c r="H48" s="1" t="s">
        <v>4</v>
      </c>
      <c r="I48" s="1" t="s">
        <v>3</v>
      </c>
      <c r="J48" s="1" t="s">
        <v>3</v>
      </c>
      <c r="K48" s="1" t="s">
        <v>4</v>
      </c>
      <c r="L48" s="1" t="s">
        <v>4</v>
      </c>
      <c r="M48" s="1" t="s">
        <v>3</v>
      </c>
      <c r="O48" s="8">
        <v>1.43333333333333</v>
      </c>
      <c r="P48" s="8">
        <v>0.17999999999999994</v>
      </c>
    </row>
    <row r="49" spans="2:16" ht="16">
      <c r="C49" s="1" t="s">
        <v>38</v>
      </c>
      <c r="D49" s="1" t="s">
        <v>3</v>
      </c>
      <c r="E49" s="1" t="s">
        <v>4</v>
      </c>
      <c r="F49" s="1" t="s">
        <v>4</v>
      </c>
      <c r="G49" s="1" t="s">
        <v>4</v>
      </c>
      <c r="H49" s="1" t="s">
        <v>4</v>
      </c>
      <c r="I49" s="1" t="s">
        <v>4</v>
      </c>
      <c r="J49" s="1" t="s">
        <v>4</v>
      </c>
      <c r="K49" s="1" t="s">
        <v>3</v>
      </c>
      <c r="L49" s="1" t="s">
        <v>3</v>
      </c>
      <c r="M49" s="1" t="s">
        <v>3</v>
      </c>
      <c r="O49" s="8">
        <v>0.7</v>
      </c>
      <c r="P49" s="8">
        <v>7.999999999999996E-2</v>
      </c>
    </row>
    <row r="50" spans="2:16" ht="16">
      <c r="C50" s="1" t="s">
        <v>39</v>
      </c>
      <c r="D50" s="1" t="s">
        <v>4</v>
      </c>
      <c r="E50" s="1" t="s">
        <v>4</v>
      </c>
      <c r="F50" s="1" t="s">
        <v>4</v>
      </c>
      <c r="G50" s="1" t="s">
        <v>4</v>
      </c>
      <c r="H50" s="1" t="s">
        <v>3</v>
      </c>
      <c r="I50" s="1" t="s">
        <v>3</v>
      </c>
      <c r="J50" s="1" t="s">
        <v>3</v>
      </c>
      <c r="K50" s="1" t="s">
        <v>3</v>
      </c>
      <c r="L50" s="1" t="s">
        <v>3</v>
      </c>
      <c r="M50" s="1" t="s">
        <v>3</v>
      </c>
      <c r="O50" s="8">
        <v>1.4866666666666699</v>
      </c>
      <c r="P50" s="8">
        <v>5.0000000000000044E-2</v>
      </c>
    </row>
    <row r="51" spans="2:16">
      <c r="B51" s="3" t="s">
        <v>48</v>
      </c>
      <c r="C51" s="3" t="s">
        <v>49</v>
      </c>
      <c r="D51" s="8">
        <f>SUM(O35,O37,O39,O41,O43,O45,O47,O49)</f>
        <v>7.7166666666666668</v>
      </c>
      <c r="E51" s="8">
        <f>SUM(O35,O36,O39,O40,O43,O44,O47,O48)</f>
        <v>8.0933333333333231</v>
      </c>
      <c r="F51" s="8">
        <f>SUM(O35,O36,O37,O38,O43,O44,O45,O46)</f>
        <v>8.4866666666666628</v>
      </c>
      <c r="G51" s="8">
        <f>SUM(O35,O36,O37,O38,O39,O40,O41,O42)</f>
        <v>8.5766666666666644</v>
      </c>
      <c r="H51" s="8">
        <f>SUM(O35,O38,O39,O42,O43,O46,O47,O50)</f>
        <v>8.9366666666666603</v>
      </c>
      <c r="I51" s="8">
        <f>SUM(O35,O37,O40,O42,O43,O45,O48,O50)</f>
        <v>10.709999999999999</v>
      </c>
      <c r="J51" s="8">
        <f>SUM(O35,O37,O39,O41,O44,O46,O48,O50)</f>
        <v>8.586666666666666</v>
      </c>
      <c r="K51" s="8">
        <f>SUM(O35,O36,O41,O42,O43,O44,O49,O50)</f>
        <v>8.1333333333333293</v>
      </c>
      <c r="L51" s="8">
        <f>SUM(O35,O36,O39,O40,O45,O46,O49,O50)</f>
        <v>8.6033333333333388</v>
      </c>
      <c r="M51" s="8">
        <f>SUM(O35,O36,O37,O38,O47,O48,O49,O50)</f>
        <v>8.5766666666666627</v>
      </c>
      <c r="O51" s="8">
        <f>SUM(O35:O50)</f>
        <v>17.173333333333328</v>
      </c>
      <c r="P51" s="8">
        <f>SUM(P35:P50)</f>
        <v>1.3599999999999997</v>
      </c>
    </row>
    <row r="52" spans="2:16">
      <c r="C52" s="3" t="s">
        <v>50</v>
      </c>
      <c r="D52" s="8">
        <f>O51-D51</f>
        <v>9.4566666666666617</v>
      </c>
      <c r="E52" s="8">
        <f>O51-E51</f>
        <v>9.0800000000000054</v>
      </c>
      <c r="F52" s="8">
        <f>O51-F51</f>
        <v>8.6866666666666656</v>
      </c>
      <c r="G52" s="8">
        <f>O51-G51</f>
        <v>8.596666666666664</v>
      </c>
      <c r="H52" s="8">
        <f>O51-H51</f>
        <v>8.2366666666666681</v>
      </c>
      <c r="I52" s="8">
        <f>O51-I51</f>
        <v>6.4633333333333294</v>
      </c>
      <c r="J52" s="8">
        <f>O51-J51</f>
        <v>8.5866666666666625</v>
      </c>
      <c r="K52" s="8">
        <f>O51-K51</f>
        <v>9.0399999999999991</v>
      </c>
      <c r="L52" s="8">
        <f>O51-L51</f>
        <v>8.5699999999999896</v>
      </c>
      <c r="M52" s="8">
        <f>O51-M51</f>
        <v>8.5966666666666658</v>
      </c>
    </row>
    <row r="53" spans="2:16">
      <c r="C53" s="3" t="s">
        <v>51</v>
      </c>
      <c r="D53" s="8">
        <f>ABS(D51-D52)</f>
        <v>1.7399999999999949</v>
      </c>
      <c r="E53" s="8">
        <f>ABS(E51-E52)</f>
        <v>0.98666666666668235</v>
      </c>
      <c r="F53" s="8">
        <f t="shared" ref="F53:M53" si="1">ABS(F51-F52)</f>
        <v>0.20000000000000284</v>
      </c>
      <c r="G53" s="8">
        <f t="shared" si="1"/>
        <v>1.9999999999999574E-2</v>
      </c>
      <c r="H53" s="8">
        <f t="shared" si="1"/>
        <v>0.69999999999999218</v>
      </c>
      <c r="I53" s="8">
        <f t="shared" si="1"/>
        <v>4.2466666666666697</v>
      </c>
      <c r="J53" s="8">
        <f t="shared" si="1"/>
        <v>3.5527136788005009E-15</v>
      </c>
      <c r="K53" s="8">
        <f t="shared" si="1"/>
        <v>0.90666666666666984</v>
      </c>
      <c r="L53" s="8">
        <f t="shared" si="1"/>
        <v>3.3333333333349202E-2</v>
      </c>
      <c r="M53" s="8">
        <f t="shared" si="1"/>
        <v>2.0000000000003126E-2</v>
      </c>
    </row>
    <row r="54" spans="2:16">
      <c r="C54" s="3" t="s">
        <v>52</v>
      </c>
      <c r="D54" s="9">
        <f>D53/8</f>
        <v>0.21749999999999936</v>
      </c>
      <c r="E54" s="9">
        <f t="shared" ref="E54:M54" si="2">E53/8</f>
        <v>0.12333333333333529</v>
      </c>
      <c r="F54" s="9">
        <f t="shared" si="2"/>
        <v>2.5000000000000355E-2</v>
      </c>
      <c r="G54" s="8">
        <f t="shared" si="2"/>
        <v>2.4999999999999467E-3</v>
      </c>
      <c r="H54" s="9">
        <f t="shared" si="2"/>
        <v>8.7499999999999023E-2</v>
      </c>
      <c r="I54" s="9">
        <f t="shared" si="2"/>
        <v>0.53083333333333371</v>
      </c>
      <c r="J54" s="8">
        <f t="shared" si="2"/>
        <v>4.4408920985006262E-16</v>
      </c>
      <c r="K54" s="9">
        <f t="shared" si="2"/>
        <v>0.11333333333333373</v>
      </c>
      <c r="L54" s="8">
        <f t="shared" si="2"/>
        <v>4.1666666666686503E-3</v>
      </c>
      <c r="M54" s="8">
        <f t="shared" si="2"/>
        <v>2.5000000000003908E-3</v>
      </c>
    </row>
    <row r="55" spans="2:16"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2:16">
      <c r="B56" s="3" t="s">
        <v>41</v>
      </c>
      <c r="C56" s="3" t="s">
        <v>49</v>
      </c>
      <c r="D56" s="8">
        <f>SUM(P35,P37,P39,P41,P43,P45,P47,P49)</f>
        <v>0.62000000000000011</v>
      </c>
      <c r="E56" s="8">
        <f>SUM(P35,P36,P39,P40,P43,P44,P47,P48)</f>
        <v>0.7</v>
      </c>
      <c r="F56" s="8">
        <f>SUM(P35,P36,P37,P38,P43,P44,P45,P46)</f>
        <v>0.7</v>
      </c>
      <c r="G56" s="8">
        <f>SUM(P35,P36,P37,P38,P39,P40,P41,P42)</f>
        <v>0.69999999999999984</v>
      </c>
      <c r="H56" s="8">
        <f>SUM(P35,P38,P39,P42,P43,P46,P47,P50)</f>
        <v>0.57999999999999985</v>
      </c>
      <c r="I56" s="8">
        <f>SUM(P35,P37,P40,P42,P43,P45,P48,P50)</f>
        <v>0.8</v>
      </c>
      <c r="J56" s="8">
        <f>SUM(P35,P37,P39,P41,P44,P46,P48,P50)</f>
        <v>0.69999999999999984</v>
      </c>
      <c r="K56" s="8">
        <f>SUM(P35,P36,P41,P42,P43,P44,P49,P50)</f>
        <v>0.54</v>
      </c>
      <c r="L56" s="8">
        <f>SUM(P35,P36,P39,P40,P45,P46,P49,P50)</f>
        <v>0.63999999999999979</v>
      </c>
      <c r="M56" s="8">
        <f>SUM(P35,P36,P37,P38,P47,P48,P49,P50)</f>
        <v>0.73999999999999988</v>
      </c>
    </row>
    <row r="57" spans="2:16">
      <c r="C57" s="3" t="s">
        <v>50</v>
      </c>
      <c r="D57" s="8">
        <f>P51-D56</f>
        <v>0.73999999999999955</v>
      </c>
      <c r="E57" s="8">
        <f>P51-E56</f>
        <v>0.6599999999999997</v>
      </c>
      <c r="F57" s="8">
        <f>P51-F56</f>
        <v>0.6599999999999997</v>
      </c>
      <c r="G57" s="8">
        <f>P51-G56</f>
        <v>0.65999999999999981</v>
      </c>
      <c r="H57" s="8">
        <f>P51-H56</f>
        <v>0.7799999999999998</v>
      </c>
      <c r="I57" s="8">
        <f>P51-I56</f>
        <v>0.55999999999999961</v>
      </c>
      <c r="J57" s="8">
        <f>P51-J56</f>
        <v>0.65999999999999981</v>
      </c>
      <c r="K57" s="8">
        <f>P51-K56</f>
        <v>0.81999999999999962</v>
      </c>
      <c r="L57" s="8">
        <f>P51-L56</f>
        <v>0.71999999999999986</v>
      </c>
      <c r="M57" s="8">
        <f>P51-M56</f>
        <v>0.61999999999999977</v>
      </c>
    </row>
    <row r="58" spans="2:16">
      <c r="C58" s="3" t="s">
        <v>51</v>
      </c>
      <c r="D58" s="8">
        <f>ABS(D56-D57)</f>
        <v>0.11999999999999944</v>
      </c>
      <c r="E58" s="8">
        <f t="shared" ref="E58:M58" si="3">ABS(E56-E57)</f>
        <v>4.0000000000000258E-2</v>
      </c>
      <c r="F58" s="8">
        <f t="shared" si="3"/>
        <v>4.0000000000000258E-2</v>
      </c>
      <c r="G58" s="8">
        <f t="shared" si="3"/>
        <v>4.0000000000000036E-2</v>
      </c>
      <c r="H58" s="8">
        <f t="shared" si="3"/>
        <v>0.19999999999999996</v>
      </c>
      <c r="I58" s="8">
        <f t="shared" si="3"/>
        <v>0.24000000000000044</v>
      </c>
      <c r="J58" s="8">
        <f t="shared" si="3"/>
        <v>4.0000000000000036E-2</v>
      </c>
      <c r="K58" s="8">
        <f t="shared" si="3"/>
        <v>0.27999999999999958</v>
      </c>
      <c r="L58" s="8">
        <f t="shared" si="3"/>
        <v>8.0000000000000071E-2</v>
      </c>
      <c r="M58" s="8">
        <f t="shared" si="3"/>
        <v>0.12000000000000011</v>
      </c>
    </row>
    <row r="59" spans="2:16">
      <c r="C59" s="3" t="s">
        <v>52</v>
      </c>
      <c r="D59" s="8">
        <f>D58/8</f>
        <v>1.499999999999993E-2</v>
      </c>
      <c r="E59" s="8">
        <f t="shared" ref="E59:M59" si="4">E58/8</f>
        <v>5.0000000000000322E-3</v>
      </c>
      <c r="F59" s="8">
        <f t="shared" si="4"/>
        <v>5.0000000000000322E-3</v>
      </c>
      <c r="G59" s="8">
        <f t="shared" si="4"/>
        <v>5.0000000000000044E-3</v>
      </c>
      <c r="H59" s="9">
        <f t="shared" si="4"/>
        <v>2.4999999999999994E-2</v>
      </c>
      <c r="I59" s="9">
        <f t="shared" si="4"/>
        <v>3.0000000000000054E-2</v>
      </c>
      <c r="J59" s="8">
        <f t="shared" si="4"/>
        <v>5.0000000000000044E-3</v>
      </c>
      <c r="K59" s="9">
        <f t="shared" si="4"/>
        <v>3.4999999999999948E-2</v>
      </c>
      <c r="L59" s="8">
        <f t="shared" si="4"/>
        <v>1.0000000000000009E-2</v>
      </c>
      <c r="M59" s="8">
        <f t="shared" si="4"/>
        <v>1.5000000000000013E-2</v>
      </c>
    </row>
  </sheetData>
  <mergeCells count="3">
    <mergeCell ref="C3:D3"/>
    <mergeCell ref="F13:F29"/>
    <mergeCell ref="A3:B4"/>
  </mergeCells>
  <phoneticPr fontId="6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Rubber 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Xinru</dc:creator>
  <cp:lastModifiedBy>Xuanming Che</cp:lastModifiedBy>
  <dcterms:created xsi:type="dcterms:W3CDTF">2023-04-02T16:27:00Z</dcterms:created>
  <dcterms:modified xsi:type="dcterms:W3CDTF">2025-05-22T08:55:27Z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4E6D582EA1B34275944E1C0A57FD871D_13</vt:lpwstr>
  </property>
  <property fmtid="{D5CDD505-2E9C-101B-9397-08002B2CF9AE}" pid="3" name="KSOProductBuildVer">
    <vt:lpwstr>2052-12.1.0.19302</vt:lpwstr>
  </property>
</Properties>
</file>