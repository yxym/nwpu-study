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exuanming/Downloads/"/>
    </mc:Choice>
  </mc:AlternateContent>
  <xr:revisionPtr revIDLastSave="0" documentId="13_ncr:1_{95068444-8342-594D-AE9E-F62F10B73AFC}" xr6:coauthVersionLast="47" xr6:coauthVersionMax="47" xr10:uidLastSave="{00000000-0000-0000-0000-000000000000}"/>
  <bookViews>
    <workbookView xWindow="4440" yWindow="860" windowWidth="25800" windowHeight="17360" xr2:uid="{C8A2F2D3-B6AF-514A-9B1D-AB0BA0F13CCB}"/>
  </bookViews>
  <sheets>
    <sheet name="Sheet1" sheetId="1" r:id="rId1"/>
  </sheets>
  <definedNames>
    <definedName name="_xlchart.v1.0" hidden="1">Sheet1!$J$1</definedName>
    <definedName name="_xlchart.v1.1" hidden="1">Sheet1!$J$2:$J$7</definedName>
    <definedName name="_xlchart.v1.2" hidden="1">Sheet1!$L$1</definedName>
    <definedName name="_xlchart.v1.3" hidden="1">Sheet1!$L$2:$L$7</definedName>
    <definedName name="_xlchart.v2.4" hidden="1">Sheet1!$J$1</definedName>
    <definedName name="_xlchart.v2.5" hidden="1">Sheet1!$J$2:$J$7</definedName>
    <definedName name="_xlchart.v2.6" hidden="1">Sheet1!$L$1</definedName>
    <definedName name="_xlchart.v2.7" hidden="1">Sheet1!$L$2:$L$7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K3" i="1"/>
  <c r="L3" i="1" s="1"/>
  <c r="K4" i="1"/>
  <c r="L4" i="1" s="1"/>
  <c r="K5" i="1"/>
  <c r="L5" i="1" s="1"/>
  <c r="K6" i="1"/>
  <c r="L6" i="1" s="1"/>
  <c r="K7" i="1"/>
  <c r="L7" i="1" s="1"/>
  <c r="K2" i="1"/>
  <c r="H2" i="1"/>
  <c r="I2" i="1" s="1"/>
  <c r="B7" i="1"/>
  <c r="B6" i="1"/>
  <c r="H7" i="1" s="1"/>
  <c r="I7" i="1" s="1"/>
  <c r="H3" i="1" l="1"/>
  <c r="I3" i="1" s="1"/>
  <c r="H6" i="1"/>
  <c r="I6" i="1" s="1"/>
  <c r="H5" i="1"/>
  <c r="I5" i="1" s="1"/>
  <c r="H4" i="1"/>
  <c r="I4" i="1" s="1"/>
</calcChain>
</file>

<file path=xl/sharedStrings.xml><?xml version="1.0" encoding="utf-8"?>
<sst xmlns="http://schemas.openxmlformats.org/spreadsheetml/2006/main" count="12" uniqueCount="9">
  <si>
    <t>r</t>
    <phoneticPr fontId="1" type="noConversion"/>
  </si>
  <si>
    <t>pi</t>
    <phoneticPr fontId="1" type="noConversion"/>
  </si>
  <si>
    <t>m</t>
    <phoneticPr fontId="1" type="noConversion"/>
  </si>
  <si>
    <t>G</t>
    <phoneticPr fontId="1" type="noConversion"/>
  </si>
  <si>
    <t>R</t>
    <phoneticPr fontId="1" type="noConversion"/>
  </si>
  <si>
    <t>L</t>
    <phoneticPr fontId="1" type="noConversion"/>
  </si>
  <si>
    <t>T</t>
    <phoneticPr fontId="1" type="noConversion"/>
  </si>
  <si>
    <t>k1</t>
    <phoneticPr fontId="1" type="noConversion"/>
  </si>
  <si>
    <t>k2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</si>
</sst>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l"/>
            <c:showLegendKey val="0"/>
            <c:showVal val="1"/>
            <c:showCatName val="1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8.1289381844803998E-2"/>
                  <c:y val="0.132322834645669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Sheet1!$F$2:$F$7</c:f>
              <c:numCache>
                <c:formatCode>General</c:formatCode>
                <c:ptCount val="6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</c:numCache>
            </c:numRef>
          </c:xVal>
          <c:yVal>
            <c:numRef>
              <c:f>Sheet1!$I$2:$I$7</c:f>
              <c:numCache>
                <c:formatCode>General</c:formatCode>
                <c:ptCount val="6"/>
                <c:pt idx="0">
                  <c:v>4.8019183468681872</c:v>
                </c:pt>
                <c:pt idx="1">
                  <c:v>9.6038366937363744</c:v>
                </c:pt>
                <c:pt idx="2">
                  <c:v>14.405755040604559</c:v>
                </c:pt>
                <c:pt idx="3">
                  <c:v>19.207673387472749</c:v>
                </c:pt>
                <c:pt idx="4">
                  <c:v>24.009591734340937</c:v>
                </c:pt>
                <c:pt idx="5">
                  <c:v>28.811510081209121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89-664C-A0E8-F77029E075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6324911"/>
        <c:axId val="2038011040"/>
      </c:scatterChart>
      <c:valAx>
        <c:axId val="706324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L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38011040"/>
        <c:crosses val="autoZero"/>
        <c:crossBetween val="midCat"/>
      </c:valAx>
      <c:valAx>
        <c:axId val="203801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T^2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063249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Sheet1!$L$1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8.3198341947344684E-2"/>
                  <c:y val="0.20255322251385244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altLang="zh-CN" baseline="0"/>
                      <a:t>y = 827.96x </a:t>
                    </a:r>
                    <a:endParaRPr lang="en-US" altLang="zh-CN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Sheet1!$J$2:$J$7</c:f>
              <c:numCache>
                <c:formatCode>General</c:formatCode>
                <c:ptCount val="6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0.35</c:v>
                </c:pt>
              </c:numCache>
            </c:numRef>
          </c:xVal>
          <c:yVal>
            <c:numRef>
              <c:f>Sheet1!$L$2:$L$7</c:f>
              <c:numCache>
                <c:formatCode>General</c:formatCode>
                <c:ptCount val="6"/>
                <c:pt idx="0">
                  <c:v>82.796050825234715</c:v>
                </c:pt>
                <c:pt idx="1">
                  <c:v>124.19407623785206</c:v>
                </c:pt>
                <c:pt idx="2">
                  <c:v>165.59210165046943</c:v>
                </c:pt>
                <c:pt idx="3">
                  <c:v>206.99012706308682</c:v>
                </c:pt>
                <c:pt idx="4">
                  <c:v>248.38815247570415</c:v>
                </c:pt>
                <c:pt idx="5">
                  <c:v>289.78617788832145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96-2A46-9EAE-6DA0EF2A89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1928576"/>
        <c:axId val="706437615"/>
      </c:scatterChart>
      <c:valAx>
        <c:axId val="1181928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L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06437615"/>
        <c:crosses val="autoZero"/>
        <c:crossBetween val="midCat"/>
      </c:valAx>
      <c:valAx>
        <c:axId val="706437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T^2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81928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</xdr:colOff>
      <xdr:row>8</xdr:row>
      <xdr:rowOff>177800</xdr:rowOff>
    </xdr:from>
    <xdr:to>
      <xdr:col>8</xdr:col>
      <xdr:colOff>487680</xdr:colOff>
      <xdr:row>22</xdr:row>
      <xdr:rowOff>76200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7A33D592-6A5E-C6BC-1782-B563EF2DF4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751840</xdr:colOff>
      <xdr:row>9</xdr:row>
      <xdr:rowOff>45720</xdr:rowOff>
    </xdr:from>
    <xdr:to>
      <xdr:col>14</xdr:col>
      <xdr:colOff>386080</xdr:colOff>
      <xdr:row>22</xdr:row>
      <xdr:rowOff>147320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999BB042-AC18-CAEA-A14B-D07E8A844D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9828A-7BB4-1E48-8315-882E85E81473}">
  <dimension ref="A1:L7"/>
  <sheetViews>
    <sheetView tabSelected="1" topLeftCell="B1" zoomScale="125" workbookViewId="0">
      <selection activeCell="I2" sqref="I2"/>
    </sheetView>
  </sheetViews>
  <sheetFormatPr baseColWidth="10" defaultRowHeight="16"/>
  <cols>
    <col min="3" max="3" width="12" bestFit="1" customWidth="1"/>
  </cols>
  <sheetData>
    <row r="1" spans="1:12">
      <c r="A1" t="s">
        <v>0</v>
      </c>
      <c r="B1">
        <v>0.3</v>
      </c>
      <c r="C1">
        <v>1E-3</v>
      </c>
      <c r="D1">
        <v>0.5</v>
      </c>
      <c r="F1" t="s">
        <v>5</v>
      </c>
      <c r="H1" t="s">
        <v>6</v>
      </c>
      <c r="I1" t="s">
        <v>6</v>
      </c>
      <c r="J1" t="s">
        <v>5</v>
      </c>
      <c r="K1" t="s">
        <v>6</v>
      </c>
    </row>
    <row r="2" spans="1:12">
      <c r="A2" t="s">
        <v>1</v>
      </c>
      <c r="B2">
        <v>3.1415926535000001</v>
      </c>
      <c r="F2">
        <v>0.1</v>
      </c>
      <c r="G2">
        <v>1</v>
      </c>
      <c r="H2">
        <f>SQRT(B6*F2*$G$2)</f>
        <v>2.1913279870590316</v>
      </c>
      <c r="I2">
        <f>H2*H2</f>
        <v>4.8019183468681872</v>
      </c>
      <c r="J2">
        <v>0.1</v>
      </c>
      <c r="K2">
        <f>SQRT($B$7*J2*$G$2)</f>
        <v>9.0992335295471296</v>
      </c>
      <c r="L2">
        <f>K2*K2</f>
        <v>82.796050825234715</v>
      </c>
    </row>
    <row r="3" spans="1:12">
      <c r="A3" t="s">
        <v>2</v>
      </c>
      <c r="B3">
        <v>1</v>
      </c>
      <c r="F3">
        <v>0.2</v>
      </c>
      <c r="H3">
        <f>SQRT($B$6*F3*$G$2)</f>
        <v>3.0990057589066167</v>
      </c>
      <c r="I3">
        <f t="shared" ref="I3:I7" si="0">H3*H3</f>
        <v>9.6038366937363744</v>
      </c>
      <c r="J3">
        <v>0.15</v>
      </c>
      <c r="K3">
        <f t="shared" ref="K3:K7" si="1">SQRT($B$7*J3*$G$2)</f>
        <v>11.144239598907234</v>
      </c>
      <c r="L3">
        <f t="shared" ref="L3:L7" si="2">K3*K3</f>
        <v>124.19407623785206</v>
      </c>
    </row>
    <row r="4" spans="1:12">
      <c r="A4" t="s">
        <v>3</v>
      </c>
      <c r="B4">
        <v>80.77</v>
      </c>
      <c r="C4">
        <v>1000000000</v>
      </c>
      <c r="D4">
        <v>60.71</v>
      </c>
      <c r="E4">
        <v>10000000</v>
      </c>
      <c r="F4">
        <v>0.3</v>
      </c>
      <c r="H4">
        <f>SQRT($B$6*F4*$G$2)</f>
        <v>3.7954914096338777</v>
      </c>
      <c r="I4">
        <f t="shared" si="0"/>
        <v>14.405755040604559</v>
      </c>
      <c r="J4">
        <v>0.2</v>
      </c>
      <c r="K4">
        <f t="shared" si="1"/>
        <v>12.868259464685558</v>
      </c>
      <c r="L4">
        <f t="shared" si="2"/>
        <v>165.59210165046943</v>
      </c>
    </row>
    <row r="5" spans="1:12">
      <c r="A5" t="s">
        <v>4</v>
      </c>
      <c r="B5">
        <v>50</v>
      </c>
      <c r="C5">
        <v>1E-3</v>
      </c>
      <c r="F5">
        <v>0.4</v>
      </c>
      <c r="H5">
        <f>SQRT($B$6*F5*$G$2)</f>
        <v>4.3826559741180633</v>
      </c>
      <c r="I5">
        <f t="shared" si="0"/>
        <v>19.207673387472749</v>
      </c>
      <c r="J5">
        <v>0.25</v>
      </c>
      <c r="K5">
        <f t="shared" si="1"/>
        <v>14.387151457570981</v>
      </c>
      <c r="L5">
        <f t="shared" si="2"/>
        <v>206.99012706308682</v>
      </c>
    </row>
    <row r="6" spans="1:12">
      <c r="A6" t="s">
        <v>7</v>
      </c>
      <c r="B6">
        <f>4*B2*B3*(B5*C5)*(B5*C5)/(B1*C1*B1*C1*B1*C1*B1*C1*B4*C4)</f>
        <v>48.019183468681867</v>
      </c>
      <c r="F6">
        <v>0.5</v>
      </c>
      <c r="H6">
        <f>SQRT($B$6*F6*$G$2)</f>
        <v>4.8999583400617741</v>
      </c>
      <c r="I6">
        <f t="shared" si="0"/>
        <v>24.009591734340937</v>
      </c>
      <c r="J6">
        <v>0.3</v>
      </c>
      <c r="K6">
        <f t="shared" si="1"/>
        <v>15.760334783109911</v>
      </c>
      <c r="L6">
        <f t="shared" si="2"/>
        <v>248.38815247570415</v>
      </c>
    </row>
    <row r="7" spans="1:12">
      <c r="A7" t="s">
        <v>8</v>
      </c>
      <c r="B7">
        <f>4*B2*B3*(B5*C5)*(B5*C5)/(D1*C1*D1*C1*D1*C1*D1*C1*D4*E4)</f>
        <v>827.96050825234715</v>
      </c>
      <c r="F7">
        <v>0.6</v>
      </c>
      <c r="H7">
        <f>SQRT($B$6*F7*$G$2)</f>
        <v>5.3676354273748066</v>
      </c>
      <c r="I7">
        <f t="shared" si="0"/>
        <v>28.811510081209121</v>
      </c>
      <c r="J7">
        <v>0.35</v>
      </c>
      <c r="K7">
        <f t="shared" si="1"/>
        <v>17.023107174905569</v>
      </c>
      <c r="L7">
        <f t="shared" si="2"/>
        <v>289.78617788832145</v>
      </c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Xuanming Che</dc:creator>
  <cp:lastModifiedBy>Xuanming Che</cp:lastModifiedBy>
  <dcterms:created xsi:type="dcterms:W3CDTF">2025-03-14T01:53:34Z</dcterms:created>
  <dcterms:modified xsi:type="dcterms:W3CDTF">2025-03-15T07:29:47Z</dcterms:modified>
</cp:coreProperties>
</file>